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LTN\Bao cao Su dung cho de tai nhom\"/>
    </mc:Choice>
  </mc:AlternateContent>
  <xr:revisionPtr revIDLastSave="0" documentId="13_ncr:1_{D60D2DFF-018E-4C14-88D1-CC4C805F2E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rint 1" sheetId="1" r:id="rId1"/>
    <sheet name="Sprint 2" sheetId="5" r:id="rId2"/>
    <sheet name="Sprint 3" sheetId="6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5" l="1"/>
  <c r="K93" i="5"/>
  <c r="J93" i="5"/>
  <c r="O93" i="5"/>
  <c r="N93" i="5"/>
  <c r="M93" i="5"/>
  <c r="I94" i="5"/>
  <c r="L93" i="5"/>
  <c r="G94" i="5"/>
  <c r="G93" i="5"/>
  <c r="I93" i="5"/>
  <c r="I124" i="1"/>
  <c r="E12" i="5"/>
  <c r="D12" i="5"/>
  <c r="E11" i="5"/>
  <c r="D11" i="5"/>
  <c r="E10" i="5"/>
  <c r="D9" i="5"/>
  <c r="D10" i="5"/>
  <c r="E9" i="5"/>
  <c r="E8" i="5"/>
  <c r="D8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Q93" i="5"/>
  <c r="R93" i="5"/>
  <c r="S93" i="5"/>
  <c r="T93" i="5"/>
  <c r="U93" i="5"/>
  <c r="V93" i="5"/>
  <c r="W93" i="5"/>
  <c r="D8" i="1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G125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G124" i="6"/>
  <c r="E12" i="6"/>
  <c r="D12" i="6"/>
  <c r="E11" i="6"/>
  <c r="D11" i="6"/>
  <c r="E10" i="6"/>
  <c r="D10" i="6"/>
  <c r="E9" i="6"/>
  <c r="D9" i="6"/>
  <c r="E8" i="6"/>
  <c r="D8" i="6"/>
  <c r="R124" i="1"/>
  <c r="O124" i="1"/>
  <c r="M124" i="1"/>
  <c r="L124" i="1"/>
  <c r="K124" i="1"/>
  <c r="J124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I125" i="1"/>
  <c r="G125" i="1"/>
  <c r="G124" i="1"/>
  <c r="S124" i="1"/>
  <c r="Q124" i="1"/>
  <c r="P124" i="1"/>
  <c r="E12" i="1"/>
  <c r="E9" i="1"/>
  <c r="E8" i="1"/>
  <c r="D12" i="1"/>
  <c r="E11" i="1"/>
  <c r="E10" i="1"/>
  <c r="D11" i="1"/>
  <c r="D10" i="1"/>
  <c r="D9" i="1"/>
  <c r="N124" i="1"/>
  <c r="T124" i="1"/>
  <c r="U124" i="1"/>
  <c r="V124" i="1"/>
  <c r="W124" i="1"/>
  <c r="X124" i="1"/>
  <c r="D13" i="5" l="1"/>
  <c r="E13" i="6"/>
  <c r="E13" i="5"/>
  <c r="D13" i="6"/>
  <c r="D13" i="1"/>
  <c r="F7" i="4" l="1"/>
  <c r="D7" i="4"/>
  <c r="K7" i="4"/>
  <c r="C7" i="4"/>
  <c r="G7" i="4"/>
  <c r="J7" i="4"/>
  <c r="E7" i="4"/>
  <c r="I7" i="4"/>
  <c r="H7" i="4"/>
  <c r="E13" i="1"/>
  <c r="B7" i="4" s="1"/>
  <c r="F11" i="4" l="1"/>
  <c r="F12" i="4"/>
</calcChain>
</file>

<file path=xl/sharedStrings.xml><?xml version="1.0" encoding="utf-8"?>
<sst xmlns="http://schemas.openxmlformats.org/spreadsheetml/2006/main" count="628" uniqueCount="177">
  <si>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</si>
  <si>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</si>
  <si>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</si>
  <si>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</si>
  <si>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</si>
  <si>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</si>
  <si>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</si>
  <si>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</si>
  <si>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Task name</t>
  </si>
  <si>
    <t>Responsible Member</t>
  </si>
  <si>
    <t>Thực tế</t>
  </si>
  <si>
    <t>Tổng</t>
  </si>
  <si>
    <t>Tạo Sprint Backlog 1</t>
  </si>
  <si>
    <t>User interface design</t>
  </si>
  <si>
    <t>Design test case</t>
  </si>
  <si>
    <t>Coding</t>
  </si>
  <si>
    <t>Testing</t>
  </si>
  <si>
    <t>Fix Bug</t>
  </si>
  <si>
    <t>Release Sprint 1</t>
  </si>
  <si>
    <t>Sprint 2</t>
  </si>
  <si>
    <t>Sprint 3</t>
  </si>
  <si>
    <t>Re-testing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</si>
  <si>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</si>
  <si>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</si>
  <si>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</si>
  <si>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</si>
  <si>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</si>
  <si>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</si>
  <si>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</si>
  <si>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 đúng hạn</t>
  </si>
  <si>
    <t>Châu Ngọc Hội</t>
  </si>
  <si>
    <t>Lê Trường Giang</t>
  </si>
  <si>
    <t>Nguyễn Đặng Yến Nhi</t>
  </si>
  <si>
    <t>Trần Trọng Khang</t>
  </si>
  <si>
    <t>Trần Nguyễn Quốc Lĩnh</t>
  </si>
  <si>
    <t>Component</t>
  </si>
  <si>
    <t>Họp kế hoạch Sprint 1</t>
  </si>
  <si>
    <t>Hội</t>
  </si>
  <si>
    <t>Tạo tài liệu kiểm thử cho Sprint 1</t>
  </si>
  <si>
    <t>Nhi</t>
  </si>
  <si>
    <t>Đăng nhập</t>
  </si>
  <si>
    <t>Lĩnh, Giang</t>
  </si>
  <si>
    <t>Đăng xuất</t>
  </si>
  <si>
    <t>Quên mật khẩu</t>
  </si>
  <si>
    <t>Quản lý thông tin cá nhân</t>
  </si>
  <si>
    <t>Nhận thông báo</t>
  </si>
  <si>
    <t>Theo dõi bảng điều khiển</t>
  </si>
  <si>
    <t>Quản lý nhân viên</t>
  </si>
  <si>
    <t>Quản lý tài khoản người dùng</t>
  </si>
  <si>
    <t>Quản lý phòng ban</t>
  </si>
  <si>
    <t>Quản lý chi nhánh</t>
  </si>
  <si>
    <t>Quản lý thông báo</t>
  </si>
  <si>
    <t>Quản lý chức vụ</t>
  </si>
  <si>
    <t>Khang</t>
  </si>
  <si>
    <t>Giang</t>
  </si>
  <si>
    <t>Thiết kế Front-end Đăng nhập</t>
  </si>
  <si>
    <t>Hội, Giang</t>
  </si>
  <si>
    <t>Code Front-end Đăng nhập</t>
  </si>
  <si>
    <t>Code Back-end Đăng nhập</t>
  </si>
  <si>
    <t>Khang, Lĩnh</t>
  </si>
  <si>
    <t>Thiết kế Front-end Đăng xuất</t>
  </si>
  <si>
    <t>Code Front-end Đăng xuất</t>
  </si>
  <si>
    <t>Code Back-end Đăng xuất</t>
  </si>
  <si>
    <t>Thiết kế Front-end Quên mật khẩu</t>
  </si>
  <si>
    <t>Code Front-end Quên mật khẩu</t>
  </si>
  <si>
    <t>Code Back-end Quên mật khẩu</t>
  </si>
  <si>
    <t>Thiết kế Front-end Quản lý thông tin cá nhân</t>
  </si>
  <si>
    <t>Code Front-end Quản lý thông tin cá nhân</t>
  </si>
  <si>
    <t>Code Back-end Quản lý thông tin cá nhân</t>
  </si>
  <si>
    <t>Thiết kế Front-end Nhận thông báo</t>
  </si>
  <si>
    <t>Code Front-end Nhận thông báo</t>
  </si>
  <si>
    <t>Code Back-end Nhận thông báo</t>
  </si>
  <si>
    <t>Thiết kế Front-end Theo dõi bảng điều khiển</t>
  </si>
  <si>
    <t>Code Front-end Theo dõi bảng điều khiển</t>
  </si>
  <si>
    <t>Code Back-end Theo dõi bảng điều khiển</t>
  </si>
  <si>
    <t>Thiết kế Front-end Quản lý nhân viên</t>
  </si>
  <si>
    <t>Code Front-end Quản lý nhân viên</t>
  </si>
  <si>
    <t>Code Back-end Quản lý nhân viên</t>
  </si>
  <si>
    <t>Thiết kế Front-end Quản lý tài khoản người dùng</t>
  </si>
  <si>
    <t>Code Front-end Quản lý tài khoản người dùng</t>
  </si>
  <si>
    <t>Code Back-end Quản lý tài khoản người dùng</t>
  </si>
  <si>
    <t>Thiết kế Front-end Quản lý phòng ban</t>
  </si>
  <si>
    <t>Code Front-end Quản lý phòng ban</t>
  </si>
  <si>
    <t>Code Back-end Quản lý phòng ban</t>
  </si>
  <si>
    <t>Thiết kế Front-end Quản lý chi nhánh</t>
  </si>
  <si>
    <t>Code Front-end Quản lý chi nhánh</t>
  </si>
  <si>
    <t>Code Back-end Quản lý chi nhánh</t>
  </si>
  <si>
    <t>Thiết kế Front-end Quản lý thông báo</t>
  </si>
  <si>
    <t>Code Front-end Quản lý thông báo</t>
  </si>
  <si>
    <t>Code Back-end Quản lý thông báo</t>
  </si>
  <si>
    <t>Thiết kế Front-end Quản lý chức vụ</t>
  </si>
  <si>
    <t>Code Front-end Quản lý chức vụ</t>
  </si>
  <si>
    <t>Code Back-end Quản lý chức vụ</t>
  </si>
  <si>
    <t>Kiểm tra Đăng nhập</t>
  </si>
  <si>
    <t>Kiểm tra Đăng xuất</t>
  </si>
  <si>
    <t>Kiểm tra Quên mật khẩu</t>
  </si>
  <si>
    <t>Kiểm tra Quản lý thông tin cá nhân</t>
  </si>
  <si>
    <t>Kiểm tra Nhận thông báo</t>
  </si>
  <si>
    <t>Kiểm tra Theo dõi bảng điều khiển</t>
  </si>
  <si>
    <t>Kiểm tra Quản lý nhân viên</t>
  </si>
  <si>
    <t>Kiểm tra Quản lý tài khoản người dùng</t>
  </si>
  <si>
    <t>Kiểm tra Quản lý phòng ban</t>
  </si>
  <si>
    <t>Kiểm tra Quản lý chi nhánh</t>
  </si>
  <si>
    <t>Kiểm tra Quản lý thông báo</t>
  </si>
  <si>
    <t>Kiểm tra Quản lý chức vụ</t>
  </si>
  <si>
    <t>Sửa lỗi Đăng nhập</t>
  </si>
  <si>
    <t>Sửa lỗi Đăng xuất</t>
  </si>
  <si>
    <t>Sửa lỗi Quên mật khẩu</t>
  </si>
  <si>
    <t>Sửa lỗi Quản lý thông tin cá nhân</t>
  </si>
  <si>
    <t>Sửa lỗi Nhận thông báo</t>
  </si>
  <si>
    <t>Sửa lỗi Theo dõi bảng điều khiển</t>
  </si>
  <si>
    <t>Sửa lỗi Quản lý nhân viên</t>
  </si>
  <si>
    <t>Sửa lỗi Quản lý tài khoản người dùng</t>
  </si>
  <si>
    <t>Sửa lỗi Quản lý phòng ban</t>
  </si>
  <si>
    <t>Sửa lỗi Quản lý chi nhánh</t>
  </si>
  <si>
    <t>Sửa lỗi Quản lý thông báo</t>
  </si>
  <si>
    <t>Sửa lỗi Quản lý chức vụ</t>
  </si>
  <si>
    <t>Kiểm tra lại Đăng nhập</t>
  </si>
  <si>
    <t>Kiểm tra lại Đăng xuất</t>
  </si>
  <si>
    <t>Kiểm tra lại Quên mật khẩu</t>
  </si>
  <si>
    <t>Kiểm tra lại Quản lý thông tin cá nhân</t>
  </si>
  <si>
    <t>Kiểm tra lại Nhận thông báo</t>
  </si>
  <si>
    <t>Kiểm tra lại Theo dõi bảng điều khiển</t>
  </si>
  <si>
    <t>Kiểm tra lại Quản lý nhân viên</t>
  </si>
  <si>
    <t>Kiểm tra lại Quản lý tài khoản người dùng</t>
  </si>
  <si>
    <t>Kiểm tra lại Quản lý phòng ban</t>
  </si>
  <si>
    <t>Kiểm tra lại Quản lý chi nhánh</t>
  </si>
  <si>
    <t>Kiểm tra lại Quản lý thông báo</t>
  </si>
  <si>
    <t>Kiểm tra lại Quản lý chức vụ</t>
  </si>
  <si>
    <t>Sprint 1 Review Meeting</t>
  </si>
  <si>
    <t>Sprint 1 Retrospective</t>
  </si>
  <si>
    <t>Thực Tế</t>
  </si>
  <si>
    <t>Ước Tính</t>
  </si>
  <si>
    <t>Lĩnh</t>
  </si>
  <si>
    <t>XÂY DỰNG WEBSITE QUẢN LÝ NHÂN SỰ TÍCH HỢP CHẤM CÔNG THEO THỜI GIAN THỰC (GPS TRACKING)</t>
  </si>
  <si>
    <t>Họp kế hoạch Sprint 2</t>
  </si>
  <si>
    <t>Tạo Sprint Backlog 2</t>
  </si>
  <si>
    <t>Tạo tài liệu kiểm thử cho Sprint 2</t>
  </si>
  <si>
    <t>Check-in chấm công</t>
  </si>
  <si>
    <t>Check-out chấm công</t>
  </si>
  <si>
    <t>Xem lịch sử chấm công</t>
  </si>
  <si>
    <t>Cài đặt khu vực chấm công</t>
  </si>
  <si>
    <t>Giám sát chấm công</t>
  </si>
  <si>
    <t>Thiết kế Front-end Check-in chấm công</t>
  </si>
  <si>
    <t>Code Front-end Check-in chấm công</t>
  </si>
  <si>
    <t>Code Back-end Check-in chấm công</t>
  </si>
  <si>
    <t>Thiết kế Front-end Check-out chấm công</t>
  </si>
  <si>
    <t>Code Front-end Check-out chấm công</t>
  </si>
  <si>
    <t>Code Back-end Check-out chấm công</t>
  </si>
  <si>
    <t>Thiết kế Front-end Xem lịch sử chấm công</t>
  </si>
  <si>
    <t>Code Front-end Xem lịch sử chấm công</t>
  </si>
  <si>
    <t>Code Back-end Xem lịch sử chấm công</t>
  </si>
  <si>
    <t>Thiết kế Front-end Cài đặt khu vực chấm công</t>
  </si>
  <si>
    <t>Code Front-end Cài đặt khu vực chấm công</t>
  </si>
  <si>
    <t>Code Back-end Cài đặt khu vực chấm công</t>
  </si>
  <si>
    <t>Thiết kế Front-end Giám sát chấm công</t>
  </si>
  <si>
    <t>Code Front-end Giám sát chấm công</t>
  </si>
  <si>
    <t>Code Back-end Giám sát chấm công</t>
  </si>
  <si>
    <t>Kiểm tra Check-in chấm công</t>
  </si>
  <si>
    <t>Kiểm tra Check-out chấm công</t>
  </si>
  <si>
    <t>Kiểm tra Xem lịch sử chấm công</t>
  </si>
  <si>
    <t>Kiểm tra Cài đặt khu vực chấm công</t>
  </si>
  <si>
    <t>Kiểm tra Giám sát chấm công</t>
  </si>
  <si>
    <t>Sửa lỗi Check-in chấm công</t>
  </si>
  <si>
    <t>Hội, Khang, Lĩnh, Giang</t>
  </si>
  <si>
    <t>Sửa lỗi Check-out chấm công</t>
  </si>
  <si>
    <t>Sửa lỗi Xem lịch sử chấm công</t>
  </si>
  <si>
    <t>Sửa lỗi Cài đặt khu vực chấm công</t>
  </si>
  <si>
    <t>Sửa lỗi Giám sát chấm công</t>
  </si>
  <si>
    <t>Kiểm tra lại Check-in chấm công</t>
  </si>
  <si>
    <t>Kiểm tra lại Check-out chấm công</t>
  </si>
  <si>
    <t>Kiểm tra lại Xem lịch sử chấm công</t>
  </si>
  <si>
    <t>Kiểm tra lại Cài đặt khu vực chấm công</t>
  </si>
  <si>
    <t>Kiểm tra lại Giám sát chấm công</t>
  </si>
  <si>
    <t>Release Sprint 2</t>
  </si>
  <si>
    <t>Sprint 2 Review Meeting</t>
  </si>
  <si>
    <t>Sprint 2 Retrospective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</si>
</sst>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8"/>
      <name val="Calibri"/>
      <family val="2"/>
      <charset val="163"/>
      <scheme val="minor"/>
    </font>
    <font>
      <sz val="13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/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1" fillId="3" borderId="5" xfId="0" applyFont="1" applyFill="1" applyBorder="1"/>
    <xf numFmtId="0" fontId="1" fillId="4" borderId="7" xfId="0" applyFont="1" applyFill="1" applyBorder="1"/>
    <xf numFmtId="0" fontId="3" fillId="0" borderId="9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1" fillId="8" borderId="5" xfId="0" applyFont="1" applyFill="1" applyBorder="1"/>
    <xf numFmtId="0" fontId="1" fillId="0" borderId="6" xfId="0" applyFont="1" applyBorder="1"/>
    <xf numFmtId="0" fontId="1" fillId="8" borderId="7" xfId="0" applyFont="1" applyFill="1" applyBorder="1"/>
    <xf numFmtId="0" fontId="1" fillId="0" borderId="9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9" borderId="1" xfId="0" applyFont="1" applyFill="1" applyBorder="1"/>
    <xf numFmtId="0" fontId="1" fillId="4" borderId="16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9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1" fillId="0" borderId="13" xfId="0" applyFont="1" applyBorder="1"/>
    <xf numFmtId="164" fontId="2" fillId="0" borderId="0" xfId="0" applyNumberFormat="1" applyFont="1" applyBorder="1" applyAlignment="1">
      <alignment textRotation="90" wrapText="1"/>
    </xf>
    <xf numFmtId="164" fontId="2" fillId="0" borderId="18" xfId="0" applyNumberFormat="1" applyFont="1" applyBorder="1" applyAlignment="1">
      <alignment textRotation="90" wrapText="1"/>
    </xf>
    <xf numFmtId="0" fontId="5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13" xfId="0" applyFont="1" applyFill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4" borderId="13" xfId="0" applyFont="1" applyFill="1" applyBorder="1"/>
    <xf numFmtId="0" fontId="5" fillId="0" borderId="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1'!$I$124:$X$124</c:f>
              <c:numCache>
                <c:formatCode>General</c:formatCode>
                <c:ptCount val="16"/>
                <c:pt idx="0">
                  <c:v>147</c:v>
                </c:pt>
                <c:pt idx="1">
                  <c:v>142</c:v>
                </c:pt>
                <c:pt idx="2">
                  <c:v>133</c:v>
                </c:pt>
                <c:pt idx="3">
                  <c:v>125</c:v>
                </c:pt>
                <c:pt idx="4">
                  <c:v>118</c:v>
                </c:pt>
                <c:pt idx="5">
                  <c:v>104</c:v>
                </c:pt>
                <c:pt idx="6">
                  <c:v>93</c:v>
                </c:pt>
                <c:pt idx="7">
                  <c:v>82</c:v>
                </c:pt>
                <c:pt idx="8">
                  <c:v>65</c:v>
                </c:pt>
                <c:pt idx="9">
                  <c:v>46</c:v>
                </c:pt>
                <c:pt idx="10">
                  <c:v>27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E-4F36-8A40-FB3C17EC418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1'!$I$125:$X$125</c:f>
              <c:numCache>
                <c:formatCode>General</c:formatCode>
                <c:ptCount val="16"/>
                <c:pt idx="0">
                  <c:v>150</c:v>
                </c:pt>
                <c:pt idx="1">
                  <c:v>142</c:v>
                </c:pt>
                <c:pt idx="2">
                  <c:v>131</c:v>
                </c:pt>
                <c:pt idx="3">
                  <c:v>126</c:v>
                </c:pt>
                <c:pt idx="4">
                  <c:v>118</c:v>
                </c:pt>
                <c:pt idx="5">
                  <c:v>104</c:v>
                </c:pt>
                <c:pt idx="6">
                  <c:v>92</c:v>
                </c:pt>
                <c:pt idx="7">
                  <c:v>81</c:v>
                </c:pt>
                <c:pt idx="8">
                  <c:v>64</c:v>
                </c:pt>
                <c:pt idx="9">
                  <c:v>47</c:v>
                </c:pt>
                <c:pt idx="10">
                  <c:v>28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E-4F36-8A40-FB3C17EC4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833072095"/>
        <c:axId val="833074015"/>
      </c:lineChart>
      <c:dateAx>
        <c:axId val="833072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4015"/>
        <c:crosses val="autoZero"/>
        <c:auto val="1"/>
        <c:lblOffset val="100"/>
        <c:baseTimeUnit val="days"/>
      </c:dateAx>
      <c:valAx>
        <c:axId val="8330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2'!$I$15:$W$15</c:f>
              <c:numCache>
                <c:formatCode>dd/mm</c:formatCode>
                <c:ptCount val="15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</c:numCache>
            </c:numRef>
          </c:cat>
          <c:val>
            <c:numRef>
              <c:f>'Sprint 2'!$I$93:$W$93</c:f>
              <c:numCache>
                <c:formatCode>General</c:formatCode>
                <c:ptCount val="15"/>
                <c:pt idx="0">
                  <c:v>162</c:v>
                </c:pt>
                <c:pt idx="1">
                  <c:v>155</c:v>
                </c:pt>
                <c:pt idx="2">
                  <c:v>136</c:v>
                </c:pt>
                <c:pt idx="3">
                  <c:v>110</c:v>
                </c:pt>
                <c:pt idx="4">
                  <c:v>90</c:v>
                </c:pt>
                <c:pt idx="5">
                  <c:v>66</c:v>
                </c:pt>
                <c:pt idx="6">
                  <c:v>39</c:v>
                </c:pt>
                <c:pt idx="7">
                  <c:v>14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2-4830-ADC3-CBCF5A00DF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2'!$I$15:$W$15</c:f>
              <c:numCache>
                <c:formatCode>dd/mm</c:formatCode>
                <c:ptCount val="15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</c:numCache>
            </c:numRef>
          </c:cat>
          <c:val>
            <c:numRef>
              <c:f>'Sprint 2'!$I$94:$W$94</c:f>
              <c:numCache>
                <c:formatCode>General</c:formatCode>
                <c:ptCount val="15"/>
                <c:pt idx="0">
                  <c:v>162</c:v>
                </c:pt>
                <c:pt idx="1">
                  <c:v>159</c:v>
                </c:pt>
                <c:pt idx="2">
                  <c:v>144</c:v>
                </c:pt>
                <c:pt idx="3">
                  <c:v>118</c:v>
                </c:pt>
                <c:pt idx="4">
                  <c:v>100</c:v>
                </c:pt>
                <c:pt idx="5">
                  <c:v>76</c:v>
                </c:pt>
                <c:pt idx="6">
                  <c:v>54</c:v>
                </c:pt>
                <c:pt idx="7">
                  <c:v>20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2-4830-ADC3-CBCF5A00D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072095"/>
        <c:axId val="833074015"/>
      </c:lineChart>
      <c:dateAx>
        <c:axId val="833072095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4015"/>
        <c:crosses val="autoZero"/>
        <c:auto val="1"/>
        <c:lblOffset val="100"/>
        <c:baseTimeUnit val="days"/>
      </c:dateAx>
      <c:valAx>
        <c:axId val="8330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2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3'!$I$15:$X$15</c:f>
              <c:numCache>
                <c:formatCode>dd/mm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3'!$I$124:$X$124</c:f>
              <c:numCache>
                <c:formatCode>General</c:formatCode>
                <c:ptCount val="16"/>
                <c:pt idx="0">
                  <c:v>147</c:v>
                </c:pt>
                <c:pt idx="1">
                  <c:v>142</c:v>
                </c:pt>
                <c:pt idx="2">
                  <c:v>133</c:v>
                </c:pt>
                <c:pt idx="3">
                  <c:v>125</c:v>
                </c:pt>
                <c:pt idx="4">
                  <c:v>118</c:v>
                </c:pt>
                <c:pt idx="5">
                  <c:v>104</c:v>
                </c:pt>
                <c:pt idx="6">
                  <c:v>93</c:v>
                </c:pt>
                <c:pt idx="7">
                  <c:v>82</c:v>
                </c:pt>
                <c:pt idx="8">
                  <c:v>65</c:v>
                </c:pt>
                <c:pt idx="9">
                  <c:v>46</c:v>
                </c:pt>
                <c:pt idx="10">
                  <c:v>27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C-400C-80D4-39B07DC140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3'!$I$15:$X$15</c:f>
              <c:numCache>
                <c:formatCode>dd/mm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3'!$I$125:$X$125</c:f>
              <c:numCache>
                <c:formatCode>General</c:formatCode>
                <c:ptCount val="16"/>
                <c:pt idx="0">
                  <c:v>150</c:v>
                </c:pt>
                <c:pt idx="1">
                  <c:v>142</c:v>
                </c:pt>
                <c:pt idx="2">
                  <c:v>131</c:v>
                </c:pt>
                <c:pt idx="3">
                  <c:v>126</c:v>
                </c:pt>
                <c:pt idx="4">
                  <c:v>118</c:v>
                </c:pt>
                <c:pt idx="5">
                  <c:v>104</c:v>
                </c:pt>
                <c:pt idx="6">
                  <c:v>92</c:v>
                </c:pt>
                <c:pt idx="7">
                  <c:v>81</c:v>
                </c:pt>
                <c:pt idx="8">
                  <c:v>64</c:v>
                </c:pt>
                <c:pt idx="9">
                  <c:v>47</c:v>
                </c:pt>
                <c:pt idx="10">
                  <c:v>28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C-400C-80D4-39B07DC1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833072095"/>
        <c:axId val="833074015"/>
      </c:lineChart>
      <c:dateAx>
        <c:axId val="833072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4015"/>
        <c:crosses val="autoZero"/>
        <c:auto val="1"/>
        <c:lblOffset val="100"/>
        <c:baseTimeUnit val="days"/>
      </c:dateAx>
      <c:valAx>
        <c:axId val="8330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276225</xdr:colOff>
      <xdr:row>16</xdr:row>
      <xdr:rowOff>85725</xdr:rowOff>
    </xdr:from>
    <xdr:to>
      <xdr:col>40</xdr:col>
      <xdr:colOff>381000</xdr:colOff>
      <xdr:row>41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09F40-2DE2-1992-B345-9ED327F7F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276225</xdr:colOff>
      <xdr:row>17</xdr:row>
      <xdr:rowOff>85725</xdr:rowOff>
    </xdr:from>
    <xdr:to>
      <xdr:col>40</xdr:col>
      <xdr:colOff>381000</xdr:colOff>
      <xdr:row>66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7BED6-68A3-4909-9D5F-8076F92F0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276225</xdr:colOff>
      <xdr:row>16</xdr:row>
      <xdr:rowOff>85725</xdr:rowOff>
    </xdr:from>
    <xdr:to>
      <xdr:col>40</xdr:col>
      <xdr:colOff>381000</xdr:colOff>
      <xdr:row>41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3DAEB-483E-46E2-AC37-F5CA2DB60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5"/>
  <sheetViews>
    <sheetView topLeftCell="D110" zoomScale="70" zoomScaleNormal="70" workbookViewId="0">
      <selection activeCell="I124" sqref="I124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32" ht="51" thickBot="1" x14ac:dyDescent="0.35">
      <c r="A1" s="44" t="s">
        <v>3</v>
      </c>
      <c r="B1" s="44"/>
      <c r="C1" s="30" t="s">
        <v>134</v>
      </c>
      <c r="E1" s="7"/>
      <c r="F1" s="8" t="s">
        <v>29</v>
      </c>
    </row>
    <row r="2" spans="1:32" ht="17.399999999999999" thickBot="1" x14ac:dyDescent="0.35">
      <c r="A2" s="44" t="s">
        <v>2</v>
      </c>
      <c r="B2" s="44"/>
      <c r="C2" s="2" t="s">
        <v>4</v>
      </c>
      <c r="E2" s="10"/>
      <c r="F2" s="9" t="s">
        <v>28</v>
      </c>
    </row>
    <row r="3" spans="1:32" ht="17.399999999999999" thickBot="1" x14ac:dyDescent="0.35">
      <c r="A3" s="44" t="s">
        <v>1</v>
      </c>
      <c r="B3" s="44"/>
      <c r="C3" s="31">
        <v>46101</v>
      </c>
      <c r="E3" s="11"/>
      <c r="F3" s="12" t="s">
        <v>27</v>
      </c>
    </row>
    <row r="4" spans="1:32" ht="17.25" customHeight="1" thickBot="1" x14ac:dyDescent="0.35">
      <c r="A4" s="44" t="s">
        <v>0</v>
      </c>
      <c r="B4" s="44"/>
      <c r="C4" s="31">
        <v>46116</v>
      </c>
    </row>
    <row r="5" spans="1:32" ht="16.5" customHeight="1" thickBot="1" x14ac:dyDescent="0.35"/>
    <row r="6" spans="1:32" ht="17.399999999999999" thickBot="1" x14ac:dyDescent="0.35">
      <c r="B6" s="45" t="s">
        <v>5</v>
      </c>
      <c r="C6" s="45"/>
      <c r="D6" s="45"/>
      <c r="E6" s="45"/>
    </row>
    <row r="7" spans="1:32" ht="17.399999999999999" thickBot="1" x14ac:dyDescent="0.35">
      <c r="B7" s="4" t="s">
        <v>6</v>
      </c>
      <c r="C7" s="4" t="s">
        <v>24</v>
      </c>
      <c r="D7" s="4" t="s">
        <v>10</v>
      </c>
      <c r="E7" s="4" t="s">
        <v>23</v>
      </c>
    </row>
    <row r="8" spans="1:32" ht="17.399999999999999" thickBot="1" x14ac:dyDescent="0.35">
      <c r="B8" s="6">
        <v>1</v>
      </c>
      <c r="C8" s="2" t="s">
        <v>30</v>
      </c>
      <c r="D8" s="2">
        <f ca="1">SUMIF($E$16:$F$123,"Hội",$G$16:$G$123)+SUMIF($E$16:$F$123,"All team",$G$16:$G$123)/5+SUMIF($E$16:$F$123,"Hội, Giang",$G$16:$G$123)/2</f>
        <v>37.5</v>
      </c>
      <c r="E8" s="2">
        <f ca="1">SUMIF($E$16:$F$123,"Hội",$H$16:$H$123)+SUMIF($E$16:$F$123,"All team",$H$16:$H$123)/5+SUMIF($E$16:$F$123,"Hội, Giang",$H$16:$H$123)/2</f>
        <v>44</v>
      </c>
    </row>
    <row r="9" spans="1:32" ht="17.399999999999999" thickBot="1" x14ac:dyDescent="0.35">
      <c r="B9" s="6">
        <v>2</v>
      </c>
      <c r="C9" s="2" t="s">
        <v>31</v>
      </c>
      <c r="D9" s="2">
        <f ca="1">SUMIF($E$16:$F$123,"Giang",$G$16:$G$123)+SUMIF($E$16:$F$123,"All team",$G$16:$G$123)/5+SUMIF($E$16:$F$123,"Lĩnh, Giang",$G$16:$G$123)/2+SUMIF($E$16:$F$123,"Hội, Giang",$G$16:$G$123)/2</f>
        <v>34.5</v>
      </c>
      <c r="E9" s="2">
        <f ca="1">SUMIF($E$16:$F$123,"Giang",$H$16:$H$123)+SUMIF($E$16:$F$123,"All team",$H$16:$H$123)/5+SUMIF($E$16:$F$123,"Lĩnh, Giang",$H$16:$H$123)/2+SUMIF($E$16:$F$123,"Hội, Giang",$H$16:$H$123)/2</f>
        <v>34</v>
      </c>
    </row>
    <row r="10" spans="1:32" ht="17.399999999999999" thickBot="1" x14ac:dyDescent="0.35">
      <c r="B10" s="6">
        <v>3</v>
      </c>
      <c r="C10" s="2" t="s">
        <v>32</v>
      </c>
      <c r="D10" s="2">
        <f ca="1">SUMIF($E$16:$F$123,"Nhi",$G$16:$G$123)+SUMIF($E$16:$F$123,"All team",$G$16:$G$123)/5</f>
        <v>18</v>
      </c>
      <c r="E10" s="2">
        <f ca="1">SUMIF($E$16:$F$123,"Nhi",$H$16:$H$123)+SUMIF($E$16:$F$123,"All team",$H$16:$H$123)/5</f>
        <v>19</v>
      </c>
    </row>
    <row r="11" spans="1:32" ht="17.399999999999999" thickBot="1" x14ac:dyDescent="0.35">
      <c r="B11" s="6">
        <v>4</v>
      </c>
      <c r="C11" s="2" t="s">
        <v>33</v>
      </c>
      <c r="D11" s="2">
        <f ca="1">SUMIF($E$16:$F$123,"Khang",$G$16:$G$123)+SUMIF($E$16:$F$123,"All team",$G$16:$G$123)/5+SUMIF($E$16:$F$123,"Khang, Lĩnh",$G$16:$G$123)/2</f>
        <v>29</v>
      </c>
      <c r="E11" s="2">
        <f ca="1">SUMIF($E$16:$F$123,"Khang",$H$16:$H$123)+SUMIF($E$16:$F$123,"All team",$H$16:$H$123)/5+SUMIF($E$16:$F$123,"Khang, Lĩnh",$H$16:$H$123)/2</f>
        <v>26.5</v>
      </c>
    </row>
    <row r="12" spans="1:32" ht="17.399999999999999" thickBot="1" x14ac:dyDescent="0.35">
      <c r="B12" s="6">
        <v>5</v>
      </c>
      <c r="C12" s="2" t="s">
        <v>34</v>
      </c>
      <c r="D12" s="2">
        <f ca="1">SUMIF($E$16:$F$123,"Lĩnh",$G$16:$G$123)+SUMIF($E$16:$F$123,"All team",$G$16:$G$123)/5+SUMIF($E$16:$F$123,"Lĩnh, Giang",$G$16:$G$123)/2+SUMIF($E$16:$F$123,"Khang, Lĩnh",$G$16:$G$123)/2</f>
        <v>30</v>
      </c>
      <c r="E12" s="2">
        <f ca="1">SUMIF($E$16:$F$123,"Lĩnh",$H$16:$H$123)+SUMIF($E$16:$F$123,"All team",$H$16:$H$123)/5+SUMIF($E$16:$F$123,"Lĩnh, Giang",$H$16:$H$123)/2+SUMIF($E$16:$F$123,"Khang, Lĩnh",$H$16:$H$123)/2</f>
        <v>26.5</v>
      </c>
    </row>
    <row r="13" spans="1:32" ht="17.399999999999999" thickBot="1" x14ac:dyDescent="0.35">
      <c r="B13" s="45" t="s">
        <v>11</v>
      </c>
      <c r="C13" s="45"/>
      <c r="D13" s="3">
        <f ca="1">SUM(D8:D12)</f>
        <v>149</v>
      </c>
      <c r="E13" s="3">
        <f ca="1">SUM(E8:E12)</f>
        <v>150</v>
      </c>
    </row>
    <row r="15" spans="1:32" ht="62.25" customHeight="1" thickBot="1" x14ac:dyDescent="0.35">
      <c r="A15" s="13" t="s">
        <v>7</v>
      </c>
      <c r="B15" s="13" t="s">
        <v>35</v>
      </c>
      <c r="C15" s="46" t="s">
        <v>8</v>
      </c>
      <c r="D15" s="46"/>
      <c r="E15" s="47" t="s">
        <v>9</v>
      </c>
      <c r="F15" s="47"/>
      <c r="G15" s="14" t="s">
        <v>10</v>
      </c>
      <c r="H15" s="14" t="s">
        <v>23</v>
      </c>
      <c r="I15" s="15">
        <v>46101</v>
      </c>
      <c r="J15" s="15">
        <v>46102</v>
      </c>
      <c r="K15" s="15">
        <v>46103</v>
      </c>
      <c r="L15" s="15">
        <v>46104</v>
      </c>
      <c r="M15" s="15">
        <v>46105</v>
      </c>
      <c r="N15" s="15">
        <v>46106</v>
      </c>
      <c r="O15" s="15">
        <v>46107</v>
      </c>
      <c r="P15" s="15">
        <v>46108</v>
      </c>
      <c r="Q15" s="15">
        <v>46109</v>
      </c>
      <c r="R15" s="15">
        <v>46110</v>
      </c>
      <c r="S15" s="15">
        <v>46111</v>
      </c>
      <c r="T15" s="15">
        <v>46112</v>
      </c>
      <c r="U15" s="15">
        <v>46113</v>
      </c>
      <c r="V15" s="15">
        <v>46114</v>
      </c>
      <c r="W15" s="15">
        <v>46115</v>
      </c>
      <c r="X15" s="15">
        <v>46116</v>
      </c>
      <c r="Y15" s="5"/>
      <c r="Z15" s="5"/>
      <c r="AA15" s="5"/>
      <c r="AB15" s="5"/>
      <c r="AC15" s="5"/>
      <c r="AD15" s="5"/>
      <c r="AE15" s="5"/>
      <c r="AF15" s="5"/>
    </row>
    <row r="16" spans="1:32" ht="17.399999999999999" thickBot="1" x14ac:dyDescent="0.35">
      <c r="A16" s="53" t="s">
        <v>4</v>
      </c>
      <c r="B16" s="42" t="s">
        <v>36</v>
      </c>
      <c r="C16" s="42"/>
      <c r="D16" s="42"/>
      <c r="E16" s="43" t="s">
        <v>22</v>
      </c>
      <c r="F16" s="43"/>
      <c r="G16" s="16">
        <v>1</v>
      </c>
      <c r="H16" s="16">
        <v>1</v>
      </c>
      <c r="I16" s="16">
        <v>1</v>
      </c>
      <c r="J16" s="7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</row>
    <row r="17" spans="1:24" ht="17.399999999999999" thickBot="1" x14ac:dyDescent="0.35">
      <c r="A17" s="54"/>
      <c r="B17" s="42" t="s">
        <v>12</v>
      </c>
      <c r="C17" s="42"/>
      <c r="D17" s="42"/>
      <c r="E17" s="42" t="s">
        <v>37</v>
      </c>
      <c r="F17" s="42"/>
      <c r="G17" s="16">
        <v>2</v>
      </c>
      <c r="H17" s="16">
        <v>2</v>
      </c>
      <c r="I17" s="16">
        <v>2</v>
      </c>
      <c r="J17" s="7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</row>
    <row r="18" spans="1:24" x14ac:dyDescent="0.3">
      <c r="A18" s="54"/>
      <c r="B18" s="42" t="s">
        <v>38</v>
      </c>
      <c r="C18" s="42"/>
      <c r="D18" s="42"/>
      <c r="E18" s="42" t="s">
        <v>37</v>
      </c>
      <c r="F18" s="42"/>
      <c r="G18" s="16">
        <v>1</v>
      </c>
      <c r="H18" s="16">
        <v>4</v>
      </c>
      <c r="I18" s="16">
        <v>4</v>
      </c>
      <c r="J18" s="7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</row>
    <row r="19" spans="1:24" x14ac:dyDescent="0.3">
      <c r="A19" s="54"/>
      <c r="B19" s="16"/>
      <c r="C19" s="55"/>
      <c r="D19" s="56"/>
      <c r="E19" s="55"/>
      <c r="F19" s="56"/>
      <c r="G19" s="16"/>
      <c r="H19" s="16"/>
      <c r="I19" s="16"/>
      <c r="J19" s="33">
        <v>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6.8" customHeight="1" x14ac:dyDescent="0.3">
      <c r="A20" s="54"/>
      <c r="B20" s="48" t="s">
        <v>13</v>
      </c>
      <c r="C20" s="42" t="s">
        <v>40</v>
      </c>
      <c r="D20" s="42"/>
      <c r="E20" s="42" t="s">
        <v>41</v>
      </c>
      <c r="F20" s="42"/>
      <c r="G20" s="16">
        <v>1</v>
      </c>
      <c r="H20" s="16">
        <v>1</v>
      </c>
      <c r="I20" s="16">
        <v>1</v>
      </c>
      <c r="J20" s="17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</row>
    <row r="21" spans="1:24" x14ac:dyDescent="0.3">
      <c r="A21" s="54"/>
      <c r="B21" s="48"/>
      <c r="C21" s="42" t="s">
        <v>42</v>
      </c>
      <c r="D21" s="42"/>
      <c r="E21" s="42" t="s">
        <v>41</v>
      </c>
      <c r="F21" s="42"/>
      <c r="G21" s="16">
        <v>1</v>
      </c>
      <c r="H21" s="16">
        <v>1</v>
      </c>
      <c r="I21" s="16">
        <v>1</v>
      </c>
      <c r="J21" s="17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</row>
    <row r="22" spans="1:24" x14ac:dyDescent="0.3">
      <c r="A22" s="54"/>
      <c r="B22" s="48"/>
      <c r="C22" s="42" t="s">
        <v>43</v>
      </c>
      <c r="D22" s="42"/>
      <c r="E22" s="42" t="s">
        <v>41</v>
      </c>
      <c r="F22" s="42"/>
      <c r="G22" s="16">
        <v>2</v>
      </c>
      <c r="H22" s="16">
        <v>2</v>
      </c>
      <c r="I22" s="16">
        <v>2</v>
      </c>
      <c r="J22" s="17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</row>
    <row r="23" spans="1:24" x14ac:dyDescent="0.3">
      <c r="A23" s="54"/>
      <c r="B23" s="48"/>
      <c r="C23" s="42" t="s">
        <v>44</v>
      </c>
      <c r="D23" s="42"/>
      <c r="E23" s="42" t="s">
        <v>41</v>
      </c>
      <c r="F23" s="42"/>
      <c r="G23" s="16">
        <v>2</v>
      </c>
      <c r="H23" s="16">
        <v>2</v>
      </c>
      <c r="I23" s="16">
        <v>2</v>
      </c>
      <c r="J23" s="16">
        <v>2</v>
      </c>
      <c r="K23" s="17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</row>
    <row r="24" spans="1:24" x14ac:dyDescent="0.3">
      <c r="A24" s="54"/>
      <c r="B24" s="48"/>
      <c r="C24" s="42" t="s">
        <v>45</v>
      </c>
      <c r="D24" s="42"/>
      <c r="E24" s="42" t="s">
        <v>41</v>
      </c>
      <c r="F24" s="42"/>
      <c r="G24" s="16">
        <v>2</v>
      </c>
      <c r="H24" s="16">
        <v>2</v>
      </c>
      <c r="I24" s="16">
        <v>2</v>
      </c>
      <c r="J24" s="16">
        <v>2</v>
      </c>
      <c r="K24" s="17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</row>
    <row r="25" spans="1:24" x14ac:dyDescent="0.3">
      <c r="A25" s="54"/>
      <c r="B25" s="48"/>
      <c r="C25" s="42" t="s">
        <v>46</v>
      </c>
      <c r="D25" s="42"/>
      <c r="E25" s="42" t="s">
        <v>41</v>
      </c>
      <c r="F25" s="42"/>
      <c r="G25" s="16">
        <v>2</v>
      </c>
      <c r="H25" s="16">
        <v>2</v>
      </c>
      <c r="I25" s="16">
        <v>2</v>
      </c>
      <c r="J25" s="16">
        <v>2</v>
      </c>
      <c r="K25" s="17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</row>
    <row r="26" spans="1:24" x14ac:dyDescent="0.3">
      <c r="A26" s="54"/>
      <c r="B26" s="48"/>
      <c r="C26" s="42" t="s">
        <v>47</v>
      </c>
      <c r="D26" s="42"/>
      <c r="E26" s="42" t="s">
        <v>41</v>
      </c>
      <c r="F26" s="42"/>
      <c r="G26" s="16">
        <v>2</v>
      </c>
      <c r="H26" s="16">
        <v>2</v>
      </c>
      <c r="I26" s="16">
        <v>2</v>
      </c>
      <c r="J26" s="16">
        <v>2</v>
      </c>
      <c r="K26" s="17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</row>
    <row r="27" spans="1:24" x14ac:dyDescent="0.3">
      <c r="A27" s="54"/>
      <c r="B27" s="48"/>
      <c r="C27" s="42" t="s">
        <v>48</v>
      </c>
      <c r="D27" s="42"/>
      <c r="E27" s="42" t="s">
        <v>41</v>
      </c>
      <c r="F27" s="42"/>
      <c r="G27" s="16">
        <v>2</v>
      </c>
      <c r="H27" s="16">
        <v>2</v>
      </c>
      <c r="I27" s="16">
        <v>2</v>
      </c>
      <c r="J27" s="16">
        <v>2</v>
      </c>
      <c r="K27" s="16">
        <v>2</v>
      </c>
      <c r="L27" s="17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</row>
    <row r="28" spans="1:24" x14ac:dyDescent="0.3">
      <c r="A28" s="54"/>
      <c r="B28" s="48"/>
      <c r="C28" s="42" t="s">
        <v>49</v>
      </c>
      <c r="D28" s="42"/>
      <c r="E28" s="42" t="s">
        <v>41</v>
      </c>
      <c r="F28" s="42"/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7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x14ac:dyDescent="0.3">
      <c r="A29" s="54"/>
      <c r="B29" s="48"/>
      <c r="C29" s="42" t="s">
        <v>50</v>
      </c>
      <c r="D29" s="42"/>
      <c r="E29" s="42" t="s">
        <v>41</v>
      </c>
      <c r="F29" s="42"/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7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</row>
    <row r="30" spans="1:24" x14ac:dyDescent="0.3">
      <c r="A30" s="54"/>
      <c r="B30" s="48"/>
      <c r="C30" s="42" t="s">
        <v>51</v>
      </c>
      <c r="D30" s="42"/>
      <c r="E30" s="42" t="s">
        <v>41</v>
      </c>
      <c r="F30" s="42"/>
      <c r="G30" s="16">
        <v>4</v>
      </c>
      <c r="H30" s="16">
        <v>2</v>
      </c>
      <c r="I30" s="16">
        <v>2</v>
      </c>
      <c r="J30" s="16">
        <v>2</v>
      </c>
      <c r="K30" s="16">
        <v>2</v>
      </c>
      <c r="L30" s="17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</row>
    <row r="31" spans="1:24" x14ac:dyDescent="0.3">
      <c r="A31" s="54"/>
      <c r="B31" s="48"/>
      <c r="C31" s="55"/>
      <c r="D31" s="56"/>
      <c r="E31" s="55"/>
      <c r="F31" s="56"/>
      <c r="G31" s="16"/>
      <c r="H31" s="16"/>
      <c r="I31" s="16"/>
      <c r="J31" s="16"/>
      <c r="K31" s="16"/>
      <c r="L31" s="19">
        <v>2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x14ac:dyDescent="0.3">
      <c r="A32" s="54"/>
      <c r="B32" s="48"/>
      <c r="C32" s="42" t="s">
        <v>52</v>
      </c>
      <c r="D32" s="42"/>
      <c r="E32" s="42" t="s">
        <v>41</v>
      </c>
      <c r="F32" s="42"/>
      <c r="G32" s="16">
        <v>2</v>
      </c>
      <c r="H32" s="16">
        <v>2</v>
      </c>
      <c r="I32" s="16">
        <v>2</v>
      </c>
      <c r="J32" s="16">
        <v>2</v>
      </c>
      <c r="K32" s="16">
        <v>2</v>
      </c>
      <c r="L32" s="16">
        <v>2</v>
      </c>
      <c r="M32" s="17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</row>
    <row r="33" spans="1:24" x14ac:dyDescent="0.3">
      <c r="A33" s="54"/>
      <c r="B33" s="48" t="s">
        <v>14</v>
      </c>
      <c r="C33" s="42" t="s">
        <v>40</v>
      </c>
      <c r="D33" s="42"/>
      <c r="E33" s="42" t="s">
        <v>37</v>
      </c>
      <c r="F33" s="42"/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7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</row>
    <row r="34" spans="1:24" x14ac:dyDescent="0.3">
      <c r="A34" s="54"/>
      <c r="B34" s="48"/>
      <c r="C34" s="42" t="s">
        <v>42</v>
      </c>
      <c r="D34" s="42"/>
      <c r="E34" s="42" t="s">
        <v>37</v>
      </c>
      <c r="F34" s="42"/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7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</row>
    <row r="35" spans="1:24" x14ac:dyDescent="0.3">
      <c r="A35" s="54"/>
      <c r="B35" s="48"/>
      <c r="C35" s="42" t="s">
        <v>43</v>
      </c>
      <c r="D35" s="42"/>
      <c r="E35" s="42" t="s">
        <v>37</v>
      </c>
      <c r="F35" s="42"/>
      <c r="G35" s="16">
        <v>2</v>
      </c>
      <c r="H35" s="16">
        <v>2</v>
      </c>
      <c r="I35" s="16">
        <v>2</v>
      </c>
      <c r="J35" s="16">
        <v>2</v>
      </c>
      <c r="K35" s="16">
        <v>2</v>
      </c>
      <c r="L35" s="16">
        <v>2</v>
      </c>
      <c r="M35" s="17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</row>
    <row r="36" spans="1:24" x14ac:dyDescent="0.3">
      <c r="A36" s="54"/>
      <c r="B36" s="48"/>
      <c r="C36" s="42" t="s">
        <v>44</v>
      </c>
      <c r="D36" s="42"/>
      <c r="E36" s="42" t="s">
        <v>39</v>
      </c>
      <c r="F36" s="42"/>
      <c r="G36" s="16">
        <v>1</v>
      </c>
      <c r="H36" s="16">
        <v>2</v>
      </c>
      <c r="I36" s="16">
        <v>2</v>
      </c>
      <c r="J36" s="16">
        <v>2</v>
      </c>
      <c r="K36" s="16">
        <v>2</v>
      </c>
      <c r="L36" s="16">
        <v>1</v>
      </c>
      <c r="M36" s="17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</row>
    <row r="37" spans="1:24" x14ac:dyDescent="0.3">
      <c r="A37" s="54"/>
      <c r="B37" s="48"/>
      <c r="C37" s="55"/>
      <c r="D37" s="56"/>
      <c r="E37" s="55"/>
      <c r="F37" s="56"/>
      <c r="G37" s="16"/>
      <c r="H37" s="16"/>
      <c r="I37" s="16"/>
      <c r="J37" s="16"/>
      <c r="K37" s="16"/>
      <c r="L37" s="16"/>
      <c r="M37" s="18">
        <v>1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x14ac:dyDescent="0.3">
      <c r="A38" s="54"/>
      <c r="B38" s="48"/>
      <c r="C38" s="42" t="s">
        <v>45</v>
      </c>
      <c r="D38" s="42"/>
      <c r="E38" s="42" t="s">
        <v>53</v>
      </c>
      <c r="F38" s="42"/>
      <c r="G38" s="16">
        <v>2</v>
      </c>
      <c r="H38" s="16">
        <v>2</v>
      </c>
      <c r="I38" s="16">
        <v>2</v>
      </c>
      <c r="J38" s="16">
        <v>2</v>
      </c>
      <c r="K38" s="16">
        <v>2</v>
      </c>
      <c r="L38" s="16">
        <v>2</v>
      </c>
      <c r="M38" s="16">
        <v>2</v>
      </c>
      <c r="N38" s="17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</row>
    <row r="39" spans="1:24" x14ac:dyDescent="0.3">
      <c r="A39" s="54"/>
      <c r="B39" s="48"/>
      <c r="C39" s="42" t="s">
        <v>46</v>
      </c>
      <c r="D39" s="42"/>
      <c r="E39" s="42" t="s">
        <v>39</v>
      </c>
      <c r="F39" s="42"/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7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</row>
    <row r="40" spans="1:24" x14ac:dyDescent="0.3">
      <c r="A40" s="54"/>
      <c r="B40" s="48"/>
      <c r="C40" s="42" t="s">
        <v>47</v>
      </c>
      <c r="D40" s="42"/>
      <c r="E40" s="42" t="s">
        <v>39</v>
      </c>
      <c r="F40" s="42"/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7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</row>
    <row r="41" spans="1:24" x14ac:dyDescent="0.3">
      <c r="A41" s="54"/>
      <c r="B41" s="48"/>
      <c r="C41" s="42" t="s">
        <v>48</v>
      </c>
      <c r="D41" s="42"/>
      <c r="E41" s="42" t="s">
        <v>37</v>
      </c>
      <c r="F41" s="42"/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7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</row>
    <row r="42" spans="1:24" x14ac:dyDescent="0.3">
      <c r="A42" s="54"/>
      <c r="B42" s="48"/>
      <c r="C42" s="42" t="s">
        <v>49</v>
      </c>
      <c r="D42" s="42"/>
      <c r="E42" s="42" t="s">
        <v>54</v>
      </c>
      <c r="F42" s="42"/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7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</row>
    <row r="43" spans="1:24" x14ac:dyDescent="0.3">
      <c r="A43" s="54"/>
      <c r="B43" s="48"/>
      <c r="C43" s="42" t="s">
        <v>50</v>
      </c>
      <c r="D43" s="42"/>
      <c r="E43" s="42" t="s">
        <v>54</v>
      </c>
      <c r="F43" s="42"/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7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</row>
    <row r="44" spans="1:24" x14ac:dyDescent="0.3">
      <c r="A44" s="54"/>
      <c r="B44" s="48"/>
      <c r="C44" s="42" t="s">
        <v>51</v>
      </c>
      <c r="D44" s="42"/>
      <c r="E44" s="42" t="s">
        <v>53</v>
      </c>
      <c r="F44" s="42"/>
      <c r="G44" s="16">
        <v>2</v>
      </c>
      <c r="H44" s="16">
        <v>2</v>
      </c>
      <c r="I44" s="16">
        <v>2</v>
      </c>
      <c r="J44" s="16">
        <v>2</v>
      </c>
      <c r="K44" s="16">
        <v>2</v>
      </c>
      <c r="L44" s="16">
        <v>2</v>
      </c>
      <c r="M44" s="16">
        <v>2</v>
      </c>
      <c r="N44" s="17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</row>
    <row r="45" spans="1:24" x14ac:dyDescent="0.3">
      <c r="A45" s="54"/>
      <c r="B45" s="48"/>
      <c r="C45" s="42" t="s">
        <v>52</v>
      </c>
      <c r="D45" s="42"/>
      <c r="E45" s="42" t="s">
        <v>39</v>
      </c>
      <c r="F45" s="42"/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7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</row>
    <row r="46" spans="1:24" x14ac:dyDescent="0.3">
      <c r="A46" s="54"/>
      <c r="B46" s="48" t="s">
        <v>15</v>
      </c>
      <c r="C46" s="42" t="s">
        <v>55</v>
      </c>
      <c r="D46" s="42"/>
      <c r="E46" s="42" t="s">
        <v>56</v>
      </c>
      <c r="F46" s="42"/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7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</row>
    <row r="47" spans="1:24" x14ac:dyDescent="0.3">
      <c r="A47" s="54"/>
      <c r="B47" s="48"/>
      <c r="C47" s="42" t="s">
        <v>57</v>
      </c>
      <c r="D47" s="42"/>
      <c r="E47" s="42" t="s">
        <v>56</v>
      </c>
      <c r="F47" s="42"/>
      <c r="G47" s="16">
        <v>2</v>
      </c>
      <c r="H47" s="16">
        <v>2</v>
      </c>
      <c r="I47" s="16">
        <v>2</v>
      </c>
      <c r="J47" s="16">
        <v>2</v>
      </c>
      <c r="K47" s="16">
        <v>2</v>
      </c>
      <c r="L47" s="16">
        <v>2</v>
      </c>
      <c r="M47" s="16">
        <v>2</v>
      </c>
      <c r="N47" s="17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</row>
    <row r="48" spans="1:24" x14ac:dyDescent="0.3">
      <c r="A48" s="54"/>
      <c r="B48" s="48"/>
      <c r="C48" s="42" t="s">
        <v>58</v>
      </c>
      <c r="D48" s="42"/>
      <c r="E48" s="42" t="s">
        <v>59</v>
      </c>
      <c r="F48" s="42"/>
      <c r="G48" s="16">
        <v>2</v>
      </c>
      <c r="H48" s="16">
        <v>2</v>
      </c>
      <c r="I48" s="16">
        <v>2</v>
      </c>
      <c r="J48" s="16">
        <v>2</v>
      </c>
      <c r="K48" s="16">
        <v>2</v>
      </c>
      <c r="L48" s="16">
        <v>2</v>
      </c>
      <c r="M48" s="16">
        <v>2</v>
      </c>
      <c r="N48" s="16">
        <v>2</v>
      </c>
      <c r="O48" s="17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</row>
    <row r="49" spans="1:24" x14ac:dyDescent="0.3">
      <c r="A49" s="54"/>
      <c r="B49" s="48"/>
      <c r="C49" s="42" t="s">
        <v>60</v>
      </c>
      <c r="D49" s="42"/>
      <c r="E49" s="42" t="s">
        <v>56</v>
      </c>
      <c r="F49" s="42"/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7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</row>
    <row r="50" spans="1:24" x14ac:dyDescent="0.3">
      <c r="A50" s="54"/>
      <c r="B50" s="48"/>
      <c r="C50" s="42" t="s">
        <v>61</v>
      </c>
      <c r="D50" s="42"/>
      <c r="E50" s="42" t="s">
        <v>56</v>
      </c>
      <c r="F50" s="42"/>
      <c r="G50" s="16">
        <v>2</v>
      </c>
      <c r="H50" s="16">
        <v>2</v>
      </c>
      <c r="I50" s="16">
        <v>2</v>
      </c>
      <c r="J50" s="16">
        <v>2</v>
      </c>
      <c r="K50" s="16">
        <v>2</v>
      </c>
      <c r="L50" s="16">
        <v>2</v>
      </c>
      <c r="M50" s="16">
        <v>2</v>
      </c>
      <c r="N50" s="16">
        <v>2</v>
      </c>
      <c r="O50" s="17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</row>
    <row r="51" spans="1:24" x14ac:dyDescent="0.3">
      <c r="A51" s="54"/>
      <c r="B51" s="48"/>
      <c r="C51" s="42" t="s">
        <v>62</v>
      </c>
      <c r="D51" s="42"/>
      <c r="E51" s="42" t="s">
        <v>59</v>
      </c>
      <c r="F51" s="42"/>
      <c r="G51" s="16">
        <v>3</v>
      </c>
      <c r="H51" s="16">
        <v>3</v>
      </c>
      <c r="I51" s="16">
        <v>3</v>
      </c>
      <c r="J51" s="16">
        <v>3</v>
      </c>
      <c r="K51" s="16">
        <v>3</v>
      </c>
      <c r="L51" s="16">
        <v>3</v>
      </c>
      <c r="M51" s="16">
        <v>3</v>
      </c>
      <c r="N51" s="16">
        <v>3</v>
      </c>
      <c r="O51" s="17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</row>
    <row r="52" spans="1:24" x14ac:dyDescent="0.3">
      <c r="A52" s="54"/>
      <c r="B52" s="48"/>
      <c r="C52" s="42" t="s">
        <v>63</v>
      </c>
      <c r="D52" s="42"/>
      <c r="E52" s="42" t="s">
        <v>56</v>
      </c>
      <c r="F52" s="42"/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7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</row>
    <row r="53" spans="1:24" x14ac:dyDescent="0.3">
      <c r="A53" s="54"/>
      <c r="B53" s="48"/>
      <c r="C53" s="42" t="s">
        <v>64</v>
      </c>
      <c r="D53" s="42"/>
      <c r="E53" s="42" t="s">
        <v>56</v>
      </c>
      <c r="F53" s="42"/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7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</row>
    <row r="54" spans="1:24" x14ac:dyDescent="0.3">
      <c r="A54" s="54"/>
      <c r="B54" s="48"/>
      <c r="C54" s="42" t="s">
        <v>65</v>
      </c>
      <c r="D54" s="42"/>
      <c r="E54" s="42" t="s">
        <v>59</v>
      </c>
      <c r="F54" s="42"/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7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</row>
    <row r="55" spans="1:24" x14ac:dyDescent="0.3">
      <c r="A55" s="54"/>
      <c r="B55" s="48"/>
      <c r="C55" s="42" t="s">
        <v>66</v>
      </c>
      <c r="D55" s="42"/>
      <c r="E55" s="42" t="s">
        <v>56</v>
      </c>
      <c r="F55" s="42"/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7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</row>
    <row r="56" spans="1:24" x14ac:dyDescent="0.3">
      <c r="A56" s="54"/>
      <c r="B56" s="48"/>
      <c r="C56" s="42" t="s">
        <v>67</v>
      </c>
      <c r="D56" s="42"/>
      <c r="E56" s="42" t="s">
        <v>56</v>
      </c>
      <c r="F56" s="42"/>
      <c r="G56" s="16">
        <v>2</v>
      </c>
      <c r="H56" s="16">
        <v>2</v>
      </c>
      <c r="I56" s="16">
        <v>2</v>
      </c>
      <c r="J56" s="16">
        <v>2</v>
      </c>
      <c r="K56" s="16">
        <v>2</v>
      </c>
      <c r="L56" s="16">
        <v>2</v>
      </c>
      <c r="M56" s="16">
        <v>2</v>
      </c>
      <c r="N56" s="16">
        <v>2</v>
      </c>
      <c r="O56" s="32">
        <v>2</v>
      </c>
      <c r="P56" s="17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</row>
    <row r="57" spans="1:24" x14ac:dyDescent="0.3">
      <c r="A57" s="54"/>
      <c r="B57" s="48"/>
      <c r="C57" s="42" t="s">
        <v>68</v>
      </c>
      <c r="D57" s="42"/>
      <c r="E57" s="42" t="s">
        <v>59</v>
      </c>
      <c r="F57" s="42"/>
      <c r="G57" s="16">
        <v>2</v>
      </c>
      <c r="H57" s="16">
        <v>2</v>
      </c>
      <c r="I57" s="16">
        <v>2</v>
      </c>
      <c r="J57" s="16">
        <v>2</v>
      </c>
      <c r="K57" s="16">
        <v>2</v>
      </c>
      <c r="L57" s="16">
        <v>2</v>
      </c>
      <c r="M57" s="16">
        <v>2</v>
      </c>
      <c r="N57" s="16">
        <v>2</v>
      </c>
      <c r="O57" s="32">
        <v>2</v>
      </c>
      <c r="P57" s="17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</row>
    <row r="58" spans="1:24" x14ac:dyDescent="0.3">
      <c r="A58" s="54"/>
      <c r="B58" s="48"/>
      <c r="C58" s="42" t="s">
        <v>69</v>
      </c>
      <c r="D58" s="42"/>
      <c r="E58" s="42" t="s">
        <v>56</v>
      </c>
      <c r="F58" s="42"/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32">
        <v>1</v>
      </c>
      <c r="P58" s="17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</row>
    <row r="59" spans="1:24" x14ac:dyDescent="0.3">
      <c r="A59" s="54"/>
      <c r="B59" s="48"/>
      <c r="C59" s="42" t="s">
        <v>70</v>
      </c>
      <c r="D59" s="42"/>
      <c r="E59" s="42" t="s">
        <v>56</v>
      </c>
      <c r="F59" s="42"/>
      <c r="G59" s="16">
        <v>2</v>
      </c>
      <c r="H59" s="16">
        <v>2</v>
      </c>
      <c r="I59" s="16">
        <v>2</v>
      </c>
      <c r="J59" s="16">
        <v>2</v>
      </c>
      <c r="K59" s="16">
        <v>2</v>
      </c>
      <c r="L59" s="16">
        <v>2</v>
      </c>
      <c r="M59" s="16">
        <v>2</v>
      </c>
      <c r="N59" s="16">
        <v>2</v>
      </c>
      <c r="O59" s="32">
        <v>2</v>
      </c>
      <c r="P59" s="17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</row>
    <row r="60" spans="1:24" x14ac:dyDescent="0.3">
      <c r="A60" s="54"/>
      <c r="B60" s="48"/>
      <c r="C60" s="42" t="s">
        <v>71</v>
      </c>
      <c r="D60" s="42"/>
      <c r="E60" s="42" t="s">
        <v>59</v>
      </c>
      <c r="F60" s="42"/>
      <c r="G60" s="16">
        <v>4</v>
      </c>
      <c r="H60" s="16">
        <v>2</v>
      </c>
      <c r="I60" s="16">
        <v>2</v>
      </c>
      <c r="J60" s="16">
        <v>2</v>
      </c>
      <c r="K60" s="16">
        <v>2</v>
      </c>
      <c r="L60" s="16">
        <v>2</v>
      </c>
      <c r="M60" s="16">
        <v>2</v>
      </c>
      <c r="N60" s="16">
        <v>2</v>
      </c>
      <c r="O60" s="32">
        <v>2</v>
      </c>
      <c r="P60" s="17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</row>
    <row r="61" spans="1:24" x14ac:dyDescent="0.3">
      <c r="A61" s="54"/>
      <c r="B61" s="48"/>
      <c r="C61" s="55"/>
      <c r="D61" s="56"/>
      <c r="E61" s="55"/>
      <c r="F61" s="56"/>
      <c r="G61" s="16"/>
      <c r="H61" s="16"/>
      <c r="I61" s="16"/>
      <c r="J61" s="16"/>
      <c r="K61" s="16"/>
      <c r="L61" s="16"/>
      <c r="M61" s="16"/>
      <c r="N61" s="16"/>
      <c r="O61" s="32"/>
      <c r="P61" s="19">
        <v>2</v>
      </c>
      <c r="Q61" s="32"/>
      <c r="R61" s="32"/>
      <c r="S61" s="32"/>
      <c r="T61" s="32"/>
      <c r="U61" s="32"/>
      <c r="V61" s="32"/>
      <c r="W61" s="32"/>
      <c r="X61" s="32"/>
    </row>
    <row r="62" spans="1:24" x14ac:dyDescent="0.3">
      <c r="A62" s="54"/>
      <c r="B62" s="48"/>
      <c r="C62" s="42" t="s">
        <v>72</v>
      </c>
      <c r="D62" s="42"/>
      <c r="E62" s="42" t="s">
        <v>56</v>
      </c>
      <c r="F62" s="42"/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32">
        <v>1</v>
      </c>
      <c r="P62" s="17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</row>
    <row r="63" spans="1:24" x14ac:dyDescent="0.3">
      <c r="A63" s="54"/>
      <c r="B63" s="48"/>
      <c r="C63" s="42" t="s">
        <v>73</v>
      </c>
      <c r="D63" s="42"/>
      <c r="E63" s="42" t="s">
        <v>56</v>
      </c>
      <c r="F63" s="42"/>
      <c r="G63" s="16">
        <v>1</v>
      </c>
      <c r="H63" s="16">
        <v>2</v>
      </c>
      <c r="I63" s="16">
        <v>2</v>
      </c>
      <c r="J63" s="16">
        <v>2</v>
      </c>
      <c r="K63" s="16">
        <v>2</v>
      </c>
      <c r="L63" s="16">
        <v>2</v>
      </c>
      <c r="M63" s="16">
        <v>2</v>
      </c>
      <c r="N63" s="16">
        <v>2</v>
      </c>
      <c r="O63" s="32">
        <v>2</v>
      </c>
      <c r="P63" s="17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</row>
    <row r="64" spans="1:24" x14ac:dyDescent="0.3">
      <c r="A64" s="54"/>
      <c r="B64" s="48"/>
      <c r="C64" s="55"/>
      <c r="D64" s="56"/>
      <c r="E64" s="55"/>
      <c r="F64" s="56"/>
      <c r="G64" s="16"/>
      <c r="H64" s="16"/>
      <c r="I64" s="16"/>
      <c r="J64" s="16"/>
      <c r="K64" s="16"/>
      <c r="L64" s="16"/>
      <c r="M64" s="16"/>
      <c r="N64" s="16"/>
      <c r="O64" s="32"/>
      <c r="P64" s="18">
        <v>1</v>
      </c>
      <c r="Q64" s="32"/>
      <c r="R64" s="32"/>
      <c r="S64" s="32"/>
      <c r="T64" s="32"/>
      <c r="U64" s="32"/>
      <c r="V64" s="32"/>
      <c r="W64" s="32"/>
      <c r="X64" s="32"/>
    </row>
    <row r="65" spans="1:24" x14ac:dyDescent="0.3">
      <c r="A65" s="54"/>
      <c r="B65" s="48"/>
      <c r="C65" s="42" t="s">
        <v>74</v>
      </c>
      <c r="D65" s="42"/>
      <c r="E65" s="42" t="s">
        <v>59</v>
      </c>
      <c r="F65" s="42"/>
      <c r="G65" s="16">
        <v>2</v>
      </c>
      <c r="H65" s="16">
        <v>2</v>
      </c>
      <c r="I65" s="16">
        <v>2</v>
      </c>
      <c r="J65" s="16">
        <v>2</v>
      </c>
      <c r="K65" s="16">
        <v>2</v>
      </c>
      <c r="L65" s="16">
        <v>2</v>
      </c>
      <c r="M65" s="16">
        <v>2</v>
      </c>
      <c r="N65" s="16">
        <v>2</v>
      </c>
      <c r="O65" s="32">
        <v>2</v>
      </c>
      <c r="P65" s="17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</row>
    <row r="66" spans="1:24" x14ac:dyDescent="0.3">
      <c r="A66" s="54"/>
      <c r="B66" s="48"/>
      <c r="C66" s="42" t="s">
        <v>75</v>
      </c>
      <c r="D66" s="42"/>
      <c r="E66" s="42" t="s">
        <v>56</v>
      </c>
      <c r="F66" s="42"/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32">
        <v>1</v>
      </c>
      <c r="P66" s="32">
        <v>1</v>
      </c>
      <c r="Q66" s="17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</row>
    <row r="67" spans="1:24" x14ac:dyDescent="0.3">
      <c r="A67" s="54"/>
      <c r="B67" s="48"/>
      <c r="C67" s="42" t="s">
        <v>76</v>
      </c>
      <c r="D67" s="42"/>
      <c r="E67" s="42" t="s">
        <v>56</v>
      </c>
      <c r="F67" s="42"/>
      <c r="G67" s="16">
        <v>2</v>
      </c>
      <c r="H67" s="16">
        <v>2</v>
      </c>
      <c r="I67" s="16">
        <v>2</v>
      </c>
      <c r="J67" s="16">
        <v>2</v>
      </c>
      <c r="K67" s="16">
        <v>2</v>
      </c>
      <c r="L67" s="16">
        <v>2</v>
      </c>
      <c r="M67" s="16">
        <v>2</v>
      </c>
      <c r="N67" s="16">
        <v>2</v>
      </c>
      <c r="O67" s="32">
        <v>2</v>
      </c>
      <c r="P67" s="32">
        <v>2</v>
      </c>
      <c r="Q67" s="17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</row>
    <row r="68" spans="1:24" x14ac:dyDescent="0.3">
      <c r="A68" s="54"/>
      <c r="B68" s="48"/>
      <c r="C68" s="42" t="s">
        <v>77</v>
      </c>
      <c r="D68" s="42"/>
      <c r="E68" s="42" t="s">
        <v>59</v>
      </c>
      <c r="F68" s="42"/>
      <c r="G68" s="16">
        <v>2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32">
        <v>1</v>
      </c>
      <c r="P68" s="32">
        <v>1</v>
      </c>
      <c r="Q68" s="17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</row>
    <row r="69" spans="1:24" x14ac:dyDescent="0.3">
      <c r="A69" s="54"/>
      <c r="B69" s="48"/>
      <c r="C69" s="55"/>
      <c r="D69" s="56"/>
      <c r="E69" s="55"/>
      <c r="F69" s="56"/>
      <c r="G69" s="16"/>
      <c r="H69" s="16"/>
      <c r="I69" s="16"/>
      <c r="J69" s="16"/>
      <c r="K69" s="16"/>
      <c r="L69" s="16"/>
      <c r="M69" s="16"/>
      <c r="N69" s="16"/>
      <c r="O69" s="32"/>
      <c r="P69" s="32"/>
      <c r="Q69" s="19">
        <v>1</v>
      </c>
      <c r="R69" s="32"/>
      <c r="S69" s="32"/>
      <c r="T69" s="32"/>
      <c r="U69" s="32"/>
      <c r="V69" s="32"/>
      <c r="W69" s="32"/>
      <c r="X69" s="32"/>
    </row>
    <row r="70" spans="1:24" x14ac:dyDescent="0.3">
      <c r="A70" s="54"/>
      <c r="B70" s="48"/>
      <c r="C70" s="42" t="s">
        <v>78</v>
      </c>
      <c r="D70" s="42"/>
      <c r="E70" s="42" t="s">
        <v>56</v>
      </c>
      <c r="F70" s="42"/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32">
        <v>1</v>
      </c>
      <c r="P70" s="32">
        <v>1</v>
      </c>
      <c r="Q70" s="17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</row>
    <row r="71" spans="1:24" x14ac:dyDescent="0.3">
      <c r="A71" s="54"/>
      <c r="B71" s="48"/>
      <c r="C71" s="42" t="s">
        <v>79</v>
      </c>
      <c r="D71" s="42"/>
      <c r="E71" s="42" t="s">
        <v>56</v>
      </c>
      <c r="F71" s="42"/>
      <c r="G71" s="16">
        <v>2</v>
      </c>
      <c r="H71" s="16">
        <v>2</v>
      </c>
      <c r="I71" s="16">
        <v>2</v>
      </c>
      <c r="J71" s="16">
        <v>2</v>
      </c>
      <c r="K71" s="16">
        <v>2</v>
      </c>
      <c r="L71" s="16">
        <v>2</v>
      </c>
      <c r="M71" s="16">
        <v>2</v>
      </c>
      <c r="N71" s="16">
        <v>2</v>
      </c>
      <c r="O71" s="32">
        <v>2</v>
      </c>
      <c r="P71" s="32">
        <v>2</v>
      </c>
      <c r="Q71" s="17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</row>
    <row r="72" spans="1:24" x14ac:dyDescent="0.3">
      <c r="A72" s="54"/>
      <c r="B72" s="48"/>
      <c r="C72" s="42" t="s">
        <v>80</v>
      </c>
      <c r="D72" s="42"/>
      <c r="E72" s="42" t="s">
        <v>59</v>
      </c>
      <c r="F72" s="42"/>
      <c r="G72" s="16">
        <v>3</v>
      </c>
      <c r="H72" s="16">
        <v>3</v>
      </c>
      <c r="I72" s="16">
        <v>3</v>
      </c>
      <c r="J72" s="16">
        <v>3</v>
      </c>
      <c r="K72" s="16">
        <v>3</v>
      </c>
      <c r="L72" s="16">
        <v>3</v>
      </c>
      <c r="M72" s="16">
        <v>3</v>
      </c>
      <c r="N72" s="16">
        <v>3</v>
      </c>
      <c r="O72" s="32">
        <v>3</v>
      </c>
      <c r="P72" s="32">
        <v>3</v>
      </c>
      <c r="Q72" s="17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</row>
    <row r="73" spans="1:24" x14ac:dyDescent="0.3">
      <c r="A73" s="54"/>
      <c r="B73" s="48"/>
      <c r="C73" s="42" t="s">
        <v>81</v>
      </c>
      <c r="D73" s="42"/>
      <c r="E73" s="42" t="s">
        <v>56</v>
      </c>
      <c r="F73" s="42"/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32">
        <v>1</v>
      </c>
      <c r="P73" s="32">
        <v>1</v>
      </c>
      <c r="Q73" s="17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</row>
    <row r="74" spans="1:24" x14ac:dyDescent="0.3">
      <c r="A74" s="54"/>
      <c r="B74" s="48"/>
      <c r="C74" s="42" t="s">
        <v>82</v>
      </c>
      <c r="D74" s="42"/>
      <c r="E74" s="42" t="s">
        <v>56</v>
      </c>
      <c r="F74" s="42"/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32">
        <v>2</v>
      </c>
      <c r="P74" s="32">
        <v>2</v>
      </c>
      <c r="Q74" s="17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</row>
    <row r="75" spans="1:24" x14ac:dyDescent="0.3">
      <c r="A75" s="54"/>
      <c r="B75" s="48"/>
      <c r="C75" s="42" t="s">
        <v>83</v>
      </c>
      <c r="D75" s="42"/>
      <c r="E75" s="42" t="s">
        <v>59</v>
      </c>
      <c r="F75" s="42"/>
      <c r="G75" s="16">
        <v>4</v>
      </c>
      <c r="H75" s="16">
        <v>2</v>
      </c>
      <c r="I75" s="16">
        <v>2</v>
      </c>
      <c r="J75" s="16">
        <v>2</v>
      </c>
      <c r="K75" s="16">
        <v>2</v>
      </c>
      <c r="L75" s="16">
        <v>2</v>
      </c>
      <c r="M75" s="16">
        <v>2</v>
      </c>
      <c r="N75" s="16">
        <v>2</v>
      </c>
      <c r="O75" s="32">
        <v>2</v>
      </c>
      <c r="P75" s="32">
        <v>2</v>
      </c>
      <c r="Q75" s="17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</row>
    <row r="76" spans="1:24" x14ac:dyDescent="0.3">
      <c r="A76" s="54"/>
      <c r="B76" s="48"/>
      <c r="C76" s="42" t="s">
        <v>84</v>
      </c>
      <c r="D76" s="42"/>
      <c r="E76" s="42" t="s">
        <v>56</v>
      </c>
      <c r="F76" s="42"/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32">
        <v>1</v>
      </c>
      <c r="P76" s="32">
        <v>1</v>
      </c>
      <c r="Q76" s="32">
        <v>1</v>
      </c>
      <c r="R76" s="17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  <row r="77" spans="1:24" x14ac:dyDescent="0.3">
      <c r="A77" s="54"/>
      <c r="B77" s="48"/>
      <c r="C77" s="42" t="s">
        <v>85</v>
      </c>
      <c r="D77" s="42"/>
      <c r="E77" s="42" t="s">
        <v>56</v>
      </c>
      <c r="F77" s="42"/>
      <c r="G77" s="16">
        <v>2</v>
      </c>
      <c r="H77" s="16">
        <v>2</v>
      </c>
      <c r="I77" s="16">
        <v>2</v>
      </c>
      <c r="J77" s="16">
        <v>2</v>
      </c>
      <c r="K77" s="16">
        <v>2</v>
      </c>
      <c r="L77" s="16">
        <v>2</v>
      </c>
      <c r="M77" s="16">
        <v>2</v>
      </c>
      <c r="N77" s="16">
        <v>2</v>
      </c>
      <c r="O77" s="32">
        <v>2</v>
      </c>
      <c r="P77" s="32">
        <v>2</v>
      </c>
      <c r="Q77" s="32">
        <v>2</v>
      </c>
      <c r="R77" s="17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</row>
    <row r="78" spans="1:24" x14ac:dyDescent="0.3">
      <c r="A78" s="54"/>
      <c r="B78" s="48"/>
      <c r="C78" s="42" t="s">
        <v>86</v>
      </c>
      <c r="D78" s="42"/>
      <c r="E78" s="42" t="s">
        <v>59</v>
      </c>
      <c r="F78" s="42"/>
      <c r="G78" s="16">
        <v>2</v>
      </c>
      <c r="H78" s="16">
        <v>2</v>
      </c>
      <c r="I78" s="16">
        <v>2</v>
      </c>
      <c r="J78" s="16">
        <v>2</v>
      </c>
      <c r="K78" s="16">
        <v>2</v>
      </c>
      <c r="L78" s="16">
        <v>2</v>
      </c>
      <c r="M78" s="16">
        <v>2</v>
      </c>
      <c r="N78" s="16">
        <v>2</v>
      </c>
      <c r="O78" s="32">
        <v>2</v>
      </c>
      <c r="P78" s="32">
        <v>2</v>
      </c>
      <c r="Q78" s="32">
        <v>2</v>
      </c>
      <c r="R78" s="17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</row>
    <row r="79" spans="1:24" x14ac:dyDescent="0.3">
      <c r="A79" s="54"/>
      <c r="B79" s="48"/>
      <c r="C79" s="42" t="s">
        <v>87</v>
      </c>
      <c r="D79" s="42"/>
      <c r="E79" s="42" t="s">
        <v>56</v>
      </c>
      <c r="F79" s="42"/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32">
        <v>1</v>
      </c>
      <c r="P79" s="32">
        <v>1</v>
      </c>
      <c r="Q79" s="32">
        <v>1</v>
      </c>
      <c r="R79" s="17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</row>
    <row r="80" spans="1:24" x14ac:dyDescent="0.3">
      <c r="A80" s="54"/>
      <c r="B80" s="48"/>
      <c r="C80" s="42" t="s">
        <v>88</v>
      </c>
      <c r="D80" s="42"/>
      <c r="E80" s="42" t="s">
        <v>56</v>
      </c>
      <c r="F80" s="42"/>
      <c r="G80" s="16">
        <v>2</v>
      </c>
      <c r="H80" s="16">
        <v>2</v>
      </c>
      <c r="I80" s="16">
        <v>2</v>
      </c>
      <c r="J80" s="16">
        <v>2</v>
      </c>
      <c r="K80" s="16">
        <v>2</v>
      </c>
      <c r="L80" s="16">
        <v>2</v>
      </c>
      <c r="M80" s="16">
        <v>2</v>
      </c>
      <c r="N80" s="16">
        <v>2</v>
      </c>
      <c r="O80" s="32">
        <v>2</v>
      </c>
      <c r="P80" s="32">
        <v>2</v>
      </c>
      <c r="Q80" s="32">
        <v>2</v>
      </c>
      <c r="R80" s="17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</row>
    <row r="81" spans="1:24" x14ac:dyDescent="0.3">
      <c r="A81" s="54"/>
      <c r="B81" s="48"/>
      <c r="C81" s="42" t="s">
        <v>89</v>
      </c>
      <c r="D81" s="42"/>
      <c r="E81" s="42" t="s">
        <v>59</v>
      </c>
      <c r="F81" s="42"/>
      <c r="G81" s="16">
        <v>2</v>
      </c>
      <c r="H81" s="16">
        <v>2</v>
      </c>
      <c r="I81" s="16">
        <v>2</v>
      </c>
      <c r="J81" s="16">
        <v>2</v>
      </c>
      <c r="K81" s="16">
        <v>2</v>
      </c>
      <c r="L81" s="16">
        <v>2</v>
      </c>
      <c r="M81" s="16">
        <v>2</v>
      </c>
      <c r="N81" s="16">
        <v>2</v>
      </c>
      <c r="O81" s="32">
        <v>2</v>
      </c>
      <c r="P81" s="32">
        <v>2</v>
      </c>
      <c r="Q81" s="32">
        <v>2</v>
      </c>
      <c r="R81" s="17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</row>
    <row r="82" spans="1:24" x14ac:dyDescent="0.3">
      <c r="A82" s="54"/>
      <c r="B82" s="48"/>
      <c r="C82" s="42" t="s">
        <v>90</v>
      </c>
      <c r="D82" s="42"/>
      <c r="E82" s="42" t="s">
        <v>56</v>
      </c>
      <c r="F82" s="42"/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32">
        <v>1</v>
      </c>
      <c r="P82" s="32">
        <v>1</v>
      </c>
      <c r="Q82" s="32">
        <v>1</v>
      </c>
      <c r="R82" s="17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</row>
    <row r="83" spans="1:24" x14ac:dyDescent="0.3">
      <c r="A83" s="54"/>
      <c r="B83" s="48"/>
      <c r="C83" s="42" t="s">
        <v>91</v>
      </c>
      <c r="D83" s="42"/>
      <c r="E83" s="42" t="s">
        <v>56</v>
      </c>
      <c r="F83" s="42"/>
      <c r="G83" s="16">
        <v>2</v>
      </c>
      <c r="H83" s="16">
        <v>2</v>
      </c>
      <c r="I83" s="16">
        <v>2</v>
      </c>
      <c r="J83" s="16">
        <v>2</v>
      </c>
      <c r="K83" s="16">
        <v>2</v>
      </c>
      <c r="L83" s="16">
        <v>2</v>
      </c>
      <c r="M83" s="16">
        <v>2</v>
      </c>
      <c r="N83" s="16">
        <v>2</v>
      </c>
      <c r="O83" s="32">
        <v>2</v>
      </c>
      <c r="P83" s="32">
        <v>2</v>
      </c>
      <c r="Q83" s="32">
        <v>2</v>
      </c>
      <c r="R83" s="17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</row>
    <row r="84" spans="1:24" x14ac:dyDescent="0.3">
      <c r="A84" s="54"/>
      <c r="B84" s="48"/>
      <c r="C84" s="42" t="s">
        <v>92</v>
      </c>
      <c r="D84" s="42"/>
      <c r="E84" s="42" t="s">
        <v>59</v>
      </c>
      <c r="F84" s="42"/>
      <c r="G84" s="16">
        <v>3</v>
      </c>
      <c r="H84" s="16">
        <v>3</v>
      </c>
      <c r="I84" s="16">
        <v>3</v>
      </c>
      <c r="J84" s="16">
        <v>3</v>
      </c>
      <c r="K84" s="16">
        <v>3</v>
      </c>
      <c r="L84" s="16">
        <v>3</v>
      </c>
      <c r="M84" s="16">
        <v>3</v>
      </c>
      <c r="N84" s="16">
        <v>3</v>
      </c>
      <c r="O84" s="32">
        <v>3</v>
      </c>
      <c r="P84" s="32">
        <v>3</v>
      </c>
      <c r="Q84" s="32">
        <v>3</v>
      </c>
      <c r="R84" s="17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</row>
    <row r="85" spans="1:24" x14ac:dyDescent="0.3">
      <c r="A85" s="54"/>
      <c r="B85" s="48" t="s">
        <v>16</v>
      </c>
      <c r="C85" s="42" t="s">
        <v>93</v>
      </c>
      <c r="D85" s="42"/>
      <c r="E85" s="42" t="s">
        <v>37</v>
      </c>
      <c r="F85" s="42"/>
      <c r="G85" s="16">
        <v>2</v>
      </c>
      <c r="H85" s="16">
        <v>2</v>
      </c>
      <c r="I85" s="16">
        <v>2</v>
      </c>
      <c r="J85" s="16">
        <v>2</v>
      </c>
      <c r="K85" s="16">
        <v>2</v>
      </c>
      <c r="L85" s="16">
        <v>2</v>
      </c>
      <c r="M85" s="16">
        <v>2</v>
      </c>
      <c r="N85" s="16">
        <v>2</v>
      </c>
      <c r="O85" s="32">
        <v>2</v>
      </c>
      <c r="P85" s="32">
        <v>2</v>
      </c>
      <c r="Q85" s="32">
        <v>2</v>
      </c>
      <c r="R85" s="32">
        <v>2</v>
      </c>
      <c r="S85" s="17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</row>
    <row r="86" spans="1:24" x14ac:dyDescent="0.3">
      <c r="A86" s="54"/>
      <c r="B86" s="48"/>
      <c r="C86" s="42" t="s">
        <v>94</v>
      </c>
      <c r="D86" s="42"/>
      <c r="E86" s="42" t="s">
        <v>37</v>
      </c>
      <c r="F86" s="42"/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32">
        <v>1</v>
      </c>
      <c r="P86" s="32">
        <v>1</v>
      </c>
      <c r="Q86" s="32">
        <v>1</v>
      </c>
      <c r="R86" s="32">
        <v>1</v>
      </c>
      <c r="S86" s="17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</row>
    <row r="87" spans="1:24" x14ac:dyDescent="0.3">
      <c r="A87" s="54"/>
      <c r="B87" s="48"/>
      <c r="C87" s="42" t="s">
        <v>95</v>
      </c>
      <c r="D87" s="42"/>
      <c r="E87" s="42" t="s">
        <v>37</v>
      </c>
      <c r="F87" s="42"/>
      <c r="G87" s="16">
        <v>1</v>
      </c>
      <c r="H87" s="16">
        <v>3</v>
      </c>
      <c r="I87" s="16">
        <v>3</v>
      </c>
      <c r="J87" s="16">
        <v>3</v>
      </c>
      <c r="K87" s="16">
        <v>3</v>
      </c>
      <c r="L87" s="16">
        <v>3</v>
      </c>
      <c r="M87" s="16">
        <v>3</v>
      </c>
      <c r="N87" s="16">
        <v>3</v>
      </c>
      <c r="O87" s="32">
        <v>3</v>
      </c>
      <c r="P87" s="32">
        <v>3</v>
      </c>
      <c r="Q87" s="32">
        <v>3</v>
      </c>
      <c r="R87" s="32">
        <v>3</v>
      </c>
      <c r="S87" s="17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</row>
    <row r="88" spans="1:24" x14ac:dyDescent="0.3">
      <c r="A88" s="54"/>
      <c r="B88" s="48"/>
      <c r="C88" s="42" t="s">
        <v>96</v>
      </c>
      <c r="D88" s="42"/>
      <c r="E88" s="42" t="s">
        <v>39</v>
      </c>
      <c r="F88" s="42"/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32">
        <v>1</v>
      </c>
      <c r="P88" s="32">
        <v>1</v>
      </c>
      <c r="Q88" s="32">
        <v>1</v>
      </c>
      <c r="R88" s="32">
        <v>1</v>
      </c>
      <c r="S88" s="17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</row>
    <row r="89" spans="1:24" x14ac:dyDescent="0.3">
      <c r="A89" s="54"/>
      <c r="B89" s="48"/>
      <c r="C89" s="42" t="s">
        <v>97</v>
      </c>
      <c r="D89" s="42"/>
      <c r="E89" s="42" t="s">
        <v>53</v>
      </c>
      <c r="F89" s="42"/>
      <c r="G89" s="16">
        <v>3</v>
      </c>
      <c r="H89" s="16">
        <v>3</v>
      </c>
      <c r="I89" s="16">
        <v>3</v>
      </c>
      <c r="J89" s="16">
        <v>3</v>
      </c>
      <c r="K89" s="16">
        <v>3</v>
      </c>
      <c r="L89" s="16">
        <v>3</v>
      </c>
      <c r="M89" s="16">
        <v>3</v>
      </c>
      <c r="N89" s="16">
        <v>3</v>
      </c>
      <c r="O89" s="32">
        <v>3</v>
      </c>
      <c r="P89" s="32">
        <v>3</v>
      </c>
      <c r="Q89" s="32">
        <v>3</v>
      </c>
      <c r="R89" s="32">
        <v>3</v>
      </c>
      <c r="S89" s="17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</row>
    <row r="90" spans="1:24" x14ac:dyDescent="0.3">
      <c r="A90" s="54"/>
      <c r="B90" s="48"/>
      <c r="C90" s="42" t="s">
        <v>98</v>
      </c>
      <c r="D90" s="42"/>
      <c r="E90" s="42" t="s">
        <v>39</v>
      </c>
      <c r="F90" s="42"/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32">
        <v>1</v>
      </c>
      <c r="P90" s="32">
        <v>1</v>
      </c>
      <c r="Q90" s="32">
        <v>1</v>
      </c>
      <c r="R90" s="32">
        <v>1</v>
      </c>
      <c r="S90" s="17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</row>
    <row r="91" spans="1:24" x14ac:dyDescent="0.3">
      <c r="A91" s="54"/>
      <c r="B91" s="48"/>
      <c r="C91" s="42" t="s">
        <v>99</v>
      </c>
      <c r="D91" s="42"/>
      <c r="E91" s="42" t="s">
        <v>39</v>
      </c>
      <c r="F91" s="42"/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32">
        <v>1</v>
      </c>
      <c r="P91" s="32">
        <v>1</v>
      </c>
      <c r="Q91" s="32">
        <v>1</v>
      </c>
      <c r="R91" s="32">
        <v>1</v>
      </c>
      <c r="S91" s="17">
        <v>0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</row>
    <row r="92" spans="1:24" x14ac:dyDescent="0.3">
      <c r="A92" s="54"/>
      <c r="B92" s="48"/>
      <c r="C92" s="42" t="s">
        <v>100</v>
      </c>
      <c r="D92" s="42"/>
      <c r="E92" s="42" t="s">
        <v>37</v>
      </c>
      <c r="F92" s="42"/>
      <c r="G92" s="16">
        <v>2</v>
      </c>
      <c r="H92" s="16">
        <v>3</v>
      </c>
      <c r="I92" s="16">
        <v>3</v>
      </c>
      <c r="J92" s="16">
        <v>3</v>
      </c>
      <c r="K92" s="16">
        <v>3</v>
      </c>
      <c r="L92" s="16">
        <v>3</v>
      </c>
      <c r="M92" s="16">
        <v>3</v>
      </c>
      <c r="N92" s="16">
        <v>3</v>
      </c>
      <c r="O92" s="32">
        <v>3</v>
      </c>
      <c r="P92" s="32">
        <v>3</v>
      </c>
      <c r="Q92" s="32">
        <v>3</v>
      </c>
      <c r="R92" s="32">
        <v>3</v>
      </c>
      <c r="S92" s="17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</row>
    <row r="93" spans="1:24" x14ac:dyDescent="0.3">
      <c r="A93" s="54"/>
      <c r="B93" s="48"/>
      <c r="C93" s="55"/>
      <c r="D93" s="56"/>
      <c r="E93" s="55"/>
      <c r="F93" s="56"/>
      <c r="G93" s="16"/>
      <c r="H93" s="16"/>
      <c r="I93" s="16"/>
      <c r="J93" s="16"/>
      <c r="K93" s="16"/>
      <c r="L93" s="16"/>
      <c r="M93" s="16"/>
      <c r="N93" s="16"/>
      <c r="O93" s="32"/>
      <c r="P93" s="32"/>
      <c r="Q93" s="32"/>
      <c r="R93" s="32"/>
      <c r="S93" s="18">
        <v>1</v>
      </c>
      <c r="T93" s="32"/>
      <c r="U93" s="32"/>
      <c r="V93" s="32"/>
      <c r="W93" s="32"/>
      <c r="X93" s="32"/>
    </row>
    <row r="94" spans="1:24" x14ac:dyDescent="0.3">
      <c r="A94" s="54"/>
      <c r="B94" s="48"/>
      <c r="C94" s="42" t="s">
        <v>101</v>
      </c>
      <c r="D94" s="42"/>
      <c r="E94" s="42" t="s">
        <v>54</v>
      </c>
      <c r="F94" s="42"/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32">
        <v>1</v>
      </c>
      <c r="P94" s="32">
        <v>1</v>
      </c>
      <c r="Q94" s="32">
        <v>1</v>
      </c>
      <c r="R94" s="32">
        <v>1</v>
      </c>
      <c r="S94" s="17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</row>
    <row r="95" spans="1:24" x14ac:dyDescent="0.3">
      <c r="A95" s="54"/>
      <c r="B95" s="48"/>
      <c r="C95" s="42" t="s">
        <v>102</v>
      </c>
      <c r="D95" s="42"/>
      <c r="E95" s="42" t="s">
        <v>39</v>
      </c>
      <c r="F95" s="42"/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32">
        <v>1</v>
      </c>
      <c r="P95" s="32">
        <v>1</v>
      </c>
      <c r="Q95" s="32">
        <v>1</v>
      </c>
      <c r="R95" s="32">
        <v>1</v>
      </c>
      <c r="S95" s="17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</row>
    <row r="96" spans="1:24" x14ac:dyDescent="0.3">
      <c r="A96" s="54"/>
      <c r="B96" s="48"/>
      <c r="C96" s="49" t="s">
        <v>103</v>
      </c>
      <c r="D96" s="49"/>
      <c r="E96" s="42" t="s">
        <v>53</v>
      </c>
      <c r="F96" s="42"/>
      <c r="G96" s="16">
        <v>2</v>
      </c>
      <c r="H96" s="16">
        <v>2</v>
      </c>
      <c r="I96" s="16">
        <v>2</v>
      </c>
      <c r="J96" s="16">
        <v>2</v>
      </c>
      <c r="K96" s="16">
        <v>2</v>
      </c>
      <c r="L96" s="16">
        <v>2</v>
      </c>
      <c r="M96" s="16">
        <v>2</v>
      </c>
      <c r="N96" s="16">
        <v>2</v>
      </c>
      <c r="O96" s="32">
        <v>2</v>
      </c>
      <c r="P96" s="32">
        <v>2</v>
      </c>
      <c r="Q96" s="32">
        <v>2</v>
      </c>
      <c r="R96" s="32">
        <v>2</v>
      </c>
      <c r="S96" s="17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</row>
    <row r="97" spans="1:24" x14ac:dyDescent="0.3">
      <c r="A97" s="54"/>
      <c r="B97" s="48"/>
      <c r="C97" s="49" t="s">
        <v>104</v>
      </c>
      <c r="D97" s="49"/>
      <c r="E97" s="42" t="s">
        <v>39</v>
      </c>
      <c r="F97" s="42"/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32">
        <v>1</v>
      </c>
      <c r="P97" s="32">
        <v>1</v>
      </c>
      <c r="Q97" s="32">
        <v>1</v>
      </c>
      <c r="R97" s="32">
        <v>1</v>
      </c>
      <c r="S97" s="17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</row>
    <row r="98" spans="1:24" x14ac:dyDescent="0.3">
      <c r="A98" s="54"/>
      <c r="B98" s="50" t="s">
        <v>17</v>
      </c>
      <c r="C98" s="42" t="s">
        <v>105</v>
      </c>
      <c r="D98" s="42"/>
      <c r="E98" s="42" t="s">
        <v>37</v>
      </c>
      <c r="F98" s="42"/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32">
        <v>1</v>
      </c>
      <c r="P98" s="32">
        <v>1</v>
      </c>
      <c r="Q98" s="32">
        <v>1</v>
      </c>
      <c r="R98" s="32">
        <v>1</v>
      </c>
      <c r="S98" s="32">
        <v>1</v>
      </c>
      <c r="T98" s="17">
        <v>0</v>
      </c>
      <c r="U98" s="32">
        <v>0</v>
      </c>
      <c r="V98" s="32">
        <v>0</v>
      </c>
      <c r="W98" s="32">
        <v>0</v>
      </c>
      <c r="X98" s="32">
        <v>0</v>
      </c>
    </row>
    <row r="99" spans="1:24" x14ac:dyDescent="0.3">
      <c r="A99" s="54"/>
      <c r="B99" s="50"/>
      <c r="C99" s="42" t="s">
        <v>106</v>
      </c>
      <c r="D99" s="42"/>
      <c r="E99" s="42" t="s">
        <v>37</v>
      </c>
      <c r="F99" s="42"/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32">
        <v>1</v>
      </c>
      <c r="P99" s="32">
        <v>1</v>
      </c>
      <c r="Q99" s="32">
        <v>1</v>
      </c>
      <c r="R99" s="32">
        <v>1</v>
      </c>
      <c r="S99" s="32">
        <v>1</v>
      </c>
      <c r="T99" s="17">
        <v>0</v>
      </c>
      <c r="U99" s="32">
        <v>0</v>
      </c>
      <c r="V99" s="32">
        <v>0</v>
      </c>
      <c r="W99" s="32">
        <v>0</v>
      </c>
      <c r="X99" s="32">
        <v>0</v>
      </c>
    </row>
    <row r="100" spans="1:24" x14ac:dyDescent="0.3">
      <c r="A100" s="54"/>
      <c r="B100" s="50"/>
      <c r="C100" s="42" t="s">
        <v>107</v>
      </c>
      <c r="D100" s="42"/>
      <c r="E100" s="42" t="s">
        <v>37</v>
      </c>
      <c r="F100" s="42"/>
      <c r="G100" s="16">
        <v>2</v>
      </c>
      <c r="H100" s="16">
        <v>2</v>
      </c>
      <c r="I100" s="16">
        <v>2</v>
      </c>
      <c r="J100" s="16">
        <v>2</v>
      </c>
      <c r="K100" s="16">
        <v>2</v>
      </c>
      <c r="L100" s="16">
        <v>2</v>
      </c>
      <c r="M100" s="16">
        <v>2</v>
      </c>
      <c r="N100" s="16">
        <v>2</v>
      </c>
      <c r="O100" s="32">
        <v>2</v>
      </c>
      <c r="P100" s="32">
        <v>2</v>
      </c>
      <c r="Q100" s="32">
        <v>2</v>
      </c>
      <c r="R100" s="32">
        <v>2</v>
      </c>
      <c r="S100" s="32">
        <v>2</v>
      </c>
      <c r="T100" s="17">
        <v>0</v>
      </c>
      <c r="U100" s="32">
        <v>0</v>
      </c>
      <c r="V100" s="32">
        <v>0</v>
      </c>
      <c r="W100" s="32">
        <v>0</v>
      </c>
      <c r="X100" s="32">
        <v>0</v>
      </c>
    </row>
    <row r="101" spans="1:24" x14ac:dyDescent="0.3">
      <c r="A101" s="54"/>
      <c r="B101" s="50"/>
      <c r="C101" s="42" t="s">
        <v>108</v>
      </c>
      <c r="D101" s="42"/>
      <c r="E101" s="42" t="s">
        <v>133</v>
      </c>
      <c r="F101" s="42"/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32">
        <v>1</v>
      </c>
      <c r="P101" s="32">
        <v>1</v>
      </c>
      <c r="Q101" s="32">
        <v>1</v>
      </c>
      <c r="R101" s="32">
        <v>1</v>
      </c>
      <c r="S101" s="32">
        <v>1</v>
      </c>
      <c r="T101" s="17">
        <v>0</v>
      </c>
      <c r="U101" s="32">
        <v>0</v>
      </c>
      <c r="V101" s="32">
        <v>0</v>
      </c>
      <c r="W101" s="32">
        <v>0</v>
      </c>
      <c r="X101" s="32">
        <v>0</v>
      </c>
    </row>
    <row r="102" spans="1:24" x14ac:dyDescent="0.3">
      <c r="A102" s="54"/>
      <c r="B102" s="50"/>
      <c r="C102" s="42" t="s">
        <v>109</v>
      </c>
      <c r="D102" s="42"/>
      <c r="E102" s="42" t="s">
        <v>53</v>
      </c>
      <c r="F102" s="42"/>
      <c r="G102" s="16">
        <v>2</v>
      </c>
      <c r="H102" s="16">
        <v>2</v>
      </c>
      <c r="I102" s="16">
        <v>2</v>
      </c>
      <c r="J102" s="16">
        <v>2</v>
      </c>
      <c r="K102" s="16">
        <v>2</v>
      </c>
      <c r="L102" s="16">
        <v>2</v>
      </c>
      <c r="M102" s="16">
        <v>2</v>
      </c>
      <c r="N102" s="16">
        <v>2</v>
      </c>
      <c r="O102" s="32">
        <v>2</v>
      </c>
      <c r="P102" s="32">
        <v>2</v>
      </c>
      <c r="Q102" s="32">
        <v>2</v>
      </c>
      <c r="R102" s="32">
        <v>2</v>
      </c>
      <c r="S102" s="32">
        <v>2</v>
      </c>
      <c r="T102" s="17">
        <v>0</v>
      </c>
      <c r="U102" s="32">
        <v>0</v>
      </c>
      <c r="V102" s="32">
        <v>0</v>
      </c>
      <c r="W102" s="32">
        <v>0</v>
      </c>
      <c r="X102" s="32">
        <v>0</v>
      </c>
    </row>
    <row r="103" spans="1:24" x14ac:dyDescent="0.3">
      <c r="A103" s="54"/>
      <c r="B103" s="50"/>
      <c r="C103" s="42" t="s">
        <v>110</v>
      </c>
      <c r="D103" s="42"/>
      <c r="E103" s="42" t="s">
        <v>56</v>
      </c>
      <c r="F103" s="42"/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7">
        <v>0</v>
      </c>
      <c r="U103" s="32">
        <v>0</v>
      </c>
      <c r="V103" s="32">
        <v>0</v>
      </c>
      <c r="W103" s="32">
        <v>0</v>
      </c>
      <c r="X103" s="16">
        <v>0</v>
      </c>
    </row>
    <row r="104" spans="1:24" x14ac:dyDescent="0.3">
      <c r="A104" s="54"/>
      <c r="B104" s="50"/>
      <c r="C104" s="42" t="s">
        <v>111</v>
      </c>
      <c r="D104" s="42"/>
      <c r="E104" s="42" t="s">
        <v>133</v>
      </c>
      <c r="F104" s="42"/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7">
        <v>0</v>
      </c>
      <c r="U104" s="32">
        <v>0</v>
      </c>
      <c r="V104" s="32">
        <v>0</v>
      </c>
      <c r="W104" s="32">
        <v>0</v>
      </c>
      <c r="X104" s="16">
        <v>0</v>
      </c>
    </row>
    <row r="105" spans="1:24" x14ac:dyDescent="0.3">
      <c r="A105" s="54"/>
      <c r="B105" s="50"/>
      <c r="C105" s="42" t="s">
        <v>112</v>
      </c>
      <c r="D105" s="42"/>
      <c r="E105" s="42" t="s">
        <v>37</v>
      </c>
      <c r="F105" s="42"/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7">
        <v>0</v>
      </c>
      <c r="U105" s="32">
        <v>0</v>
      </c>
      <c r="V105" s="32">
        <v>0</v>
      </c>
      <c r="W105" s="32">
        <v>0</v>
      </c>
      <c r="X105" s="16">
        <v>0</v>
      </c>
    </row>
    <row r="106" spans="1:24" x14ac:dyDescent="0.3">
      <c r="A106" s="54"/>
      <c r="B106" s="50"/>
      <c r="C106" s="42" t="s">
        <v>113</v>
      </c>
      <c r="D106" s="42"/>
      <c r="E106" s="42" t="s">
        <v>54</v>
      </c>
      <c r="F106" s="42"/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7">
        <v>0</v>
      </c>
      <c r="U106" s="32">
        <v>0</v>
      </c>
      <c r="V106" s="32">
        <v>0</v>
      </c>
      <c r="W106" s="32">
        <v>0</v>
      </c>
      <c r="X106" s="16">
        <v>0</v>
      </c>
    </row>
    <row r="107" spans="1:24" x14ac:dyDescent="0.3">
      <c r="A107" s="54"/>
      <c r="B107" s="50"/>
      <c r="C107" s="42" t="s">
        <v>114</v>
      </c>
      <c r="D107" s="42"/>
      <c r="E107" s="42" t="s">
        <v>54</v>
      </c>
      <c r="F107" s="42"/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7">
        <v>0</v>
      </c>
      <c r="U107" s="32">
        <v>0</v>
      </c>
      <c r="V107" s="32">
        <v>0</v>
      </c>
      <c r="W107" s="32">
        <v>0</v>
      </c>
      <c r="X107" s="16">
        <v>0</v>
      </c>
    </row>
    <row r="108" spans="1:24" x14ac:dyDescent="0.3">
      <c r="A108" s="54"/>
      <c r="B108" s="50"/>
      <c r="C108" s="42" t="s">
        <v>115</v>
      </c>
      <c r="D108" s="42"/>
      <c r="E108" s="42" t="s">
        <v>53</v>
      </c>
      <c r="F108" s="42"/>
      <c r="G108" s="16">
        <v>2</v>
      </c>
      <c r="H108" s="16">
        <v>2</v>
      </c>
      <c r="I108" s="16">
        <v>2</v>
      </c>
      <c r="J108" s="16">
        <v>2</v>
      </c>
      <c r="K108" s="16">
        <v>2</v>
      </c>
      <c r="L108" s="16">
        <v>2</v>
      </c>
      <c r="M108" s="16">
        <v>2</v>
      </c>
      <c r="N108" s="16">
        <v>2</v>
      </c>
      <c r="O108" s="16">
        <v>2</v>
      </c>
      <c r="P108" s="16">
        <v>2</v>
      </c>
      <c r="Q108" s="16">
        <v>2</v>
      </c>
      <c r="R108" s="16">
        <v>2</v>
      </c>
      <c r="S108" s="16">
        <v>2</v>
      </c>
      <c r="T108" s="17">
        <v>0</v>
      </c>
      <c r="U108" s="32">
        <v>0</v>
      </c>
      <c r="V108" s="32">
        <v>0</v>
      </c>
      <c r="W108" s="32">
        <v>0</v>
      </c>
      <c r="X108" s="16">
        <v>0</v>
      </c>
    </row>
    <row r="109" spans="1:24" x14ac:dyDescent="0.3">
      <c r="A109" s="54"/>
      <c r="B109" s="50"/>
      <c r="C109" s="42" t="s">
        <v>116</v>
      </c>
      <c r="D109" s="42"/>
      <c r="E109" s="42" t="s">
        <v>133</v>
      </c>
      <c r="F109" s="42"/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  <c r="R109" s="16">
        <v>1</v>
      </c>
      <c r="S109" s="16">
        <v>1</v>
      </c>
      <c r="T109" s="17">
        <v>0</v>
      </c>
      <c r="U109" s="32">
        <v>0</v>
      </c>
      <c r="V109" s="32">
        <v>0</v>
      </c>
      <c r="W109" s="32">
        <v>0</v>
      </c>
      <c r="X109" s="16">
        <v>0</v>
      </c>
    </row>
    <row r="110" spans="1:24" x14ac:dyDescent="0.3">
      <c r="A110" s="54"/>
      <c r="B110" s="50" t="s">
        <v>21</v>
      </c>
      <c r="C110" s="42" t="s">
        <v>117</v>
      </c>
      <c r="D110" s="42"/>
      <c r="E110" s="42" t="s">
        <v>39</v>
      </c>
      <c r="F110" s="42"/>
      <c r="G110" s="16">
        <v>0.5</v>
      </c>
      <c r="H110" s="16">
        <v>0.5</v>
      </c>
      <c r="I110" s="16">
        <v>0.5</v>
      </c>
      <c r="J110" s="16">
        <v>0.5</v>
      </c>
      <c r="K110" s="16">
        <v>0.5</v>
      </c>
      <c r="L110" s="16">
        <v>0.5</v>
      </c>
      <c r="M110" s="16">
        <v>0.5</v>
      </c>
      <c r="N110" s="16">
        <v>0.5</v>
      </c>
      <c r="O110" s="16">
        <v>0.5</v>
      </c>
      <c r="P110" s="16">
        <v>0.5</v>
      </c>
      <c r="Q110" s="16">
        <v>0.5</v>
      </c>
      <c r="R110" s="16">
        <v>0.5</v>
      </c>
      <c r="S110" s="16">
        <v>0.5</v>
      </c>
      <c r="T110" s="16">
        <v>0.5</v>
      </c>
      <c r="U110" s="17">
        <v>0</v>
      </c>
      <c r="V110" s="16">
        <v>0</v>
      </c>
      <c r="W110" s="16">
        <v>0</v>
      </c>
      <c r="X110" s="16">
        <v>0</v>
      </c>
    </row>
    <row r="111" spans="1:24" x14ac:dyDescent="0.3">
      <c r="A111" s="54"/>
      <c r="B111" s="50"/>
      <c r="C111" s="42" t="s">
        <v>118</v>
      </c>
      <c r="D111" s="42"/>
      <c r="E111" s="42" t="s">
        <v>39</v>
      </c>
      <c r="F111" s="42"/>
      <c r="G111" s="16">
        <v>0.5</v>
      </c>
      <c r="H111" s="16">
        <v>0.5</v>
      </c>
      <c r="I111" s="16">
        <v>0.5</v>
      </c>
      <c r="J111" s="16">
        <v>0.5</v>
      </c>
      <c r="K111" s="16">
        <v>0.5</v>
      </c>
      <c r="L111" s="16">
        <v>0.5</v>
      </c>
      <c r="M111" s="16">
        <v>0.5</v>
      </c>
      <c r="N111" s="16">
        <v>0.5</v>
      </c>
      <c r="O111" s="16">
        <v>0.5</v>
      </c>
      <c r="P111" s="16">
        <v>0.5</v>
      </c>
      <c r="Q111" s="16">
        <v>0.5</v>
      </c>
      <c r="R111" s="16">
        <v>0.5</v>
      </c>
      <c r="S111" s="16">
        <v>0.5</v>
      </c>
      <c r="T111" s="16">
        <v>0.5</v>
      </c>
      <c r="U111" s="17">
        <v>0</v>
      </c>
      <c r="V111" s="16">
        <v>0</v>
      </c>
      <c r="W111" s="16">
        <v>0</v>
      </c>
      <c r="X111" s="16">
        <v>0</v>
      </c>
    </row>
    <row r="112" spans="1:24" x14ac:dyDescent="0.3">
      <c r="A112" s="54"/>
      <c r="B112" s="50"/>
      <c r="C112" s="42" t="s">
        <v>119</v>
      </c>
      <c r="D112" s="42"/>
      <c r="E112" s="42" t="s">
        <v>39</v>
      </c>
      <c r="F112" s="42"/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7">
        <v>0</v>
      </c>
      <c r="V112" s="16">
        <v>0</v>
      </c>
      <c r="W112" s="16">
        <v>0</v>
      </c>
      <c r="X112" s="16">
        <v>0</v>
      </c>
    </row>
    <row r="113" spans="1:24" x14ac:dyDescent="0.3">
      <c r="A113" s="54"/>
      <c r="B113" s="50"/>
      <c r="C113" s="42" t="s">
        <v>120</v>
      </c>
      <c r="D113" s="42"/>
      <c r="E113" s="42" t="s">
        <v>39</v>
      </c>
      <c r="F113" s="42"/>
      <c r="G113" s="16">
        <v>0.5</v>
      </c>
      <c r="H113" s="16">
        <v>0.5</v>
      </c>
      <c r="I113" s="16">
        <v>0.5</v>
      </c>
      <c r="J113" s="16">
        <v>0.5</v>
      </c>
      <c r="K113" s="16">
        <v>0.5</v>
      </c>
      <c r="L113" s="16">
        <v>0.5</v>
      </c>
      <c r="M113" s="16">
        <v>0.5</v>
      </c>
      <c r="N113" s="16">
        <v>0.5</v>
      </c>
      <c r="O113" s="16">
        <v>0.5</v>
      </c>
      <c r="P113" s="16">
        <v>0.5</v>
      </c>
      <c r="Q113" s="16">
        <v>0.5</v>
      </c>
      <c r="R113" s="16">
        <v>0.5</v>
      </c>
      <c r="S113" s="16">
        <v>0.5</v>
      </c>
      <c r="T113" s="16">
        <v>0.5</v>
      </c>
      <c r="U113" s="17">
        <v>0</v>
      </c>
      <c r="V113" s="16">
        <v>0</v>
      </c>
      <c r="W113" s="16">
        <v>0</v>
      </c>
      <c r="X113" s="16">
        <v>0</v>
      </c>
    </row>
    <row r="114" spans="1:24" x14ac:dyDescent="0.3">
      <c r="A114" s="54"/>
      <c r="B114" s="50"/>
      <c r="C114" s="42" t="s">
        <v>121</v>
      </c>
      <c r="D114" s="42"/>
      <c r="E114" s="42" t="s">
        <v>39</v>
      </c>
      <c r="F114" s="42"/>
      <c r="G114" s="16">
        <v>1.5</v>
      </c>
      <c r="H114" s="16">
        <v>1.5</v>
      </c>
      <c r="I114" s="16">
        <v>1.5</v>
      </c>
      <c r="J114" s="16">
        <v>1.5</v>
      </c>
      <c r="K114" s="16">
        <v>1.5</v>
      </c>
      <c r="L114" s="16">
        <v>1.5</v>
      </c>
      <c r="M114" s="16">
        <v>1.5</v>
      </c>
      <c r="N114" s="16">
        <v>1.5</v>
      </c>
      <c r="O114" s="16">
        <v>1.5</v>
      </c>
      <c r="P114" s="16">
        <v>1.5</v>
      </c>
      <c r="Q114" s="16">
        <v>1.5</v>
      </c>
      <c r="R114" s="16">
        <v>1.5</v>
      </c>
      <c r="S114" s="16">
        <v>1.5</v>
      </c>
      <c r="T114" s="16">
        <v>1.5</v>
      </c>
      <c r="U114" s="17">
        <v>0</v>
      </c>
      <c r="V114" s="16">
        <v>0</v>
      </c>
      <c r="W114" s="16">
        <v>0</v>
      </c>
      <c r="X114" s="16">
        <v>0</v>
      </c>
    </row>
    <row r="115" spans="1:24" x14ac:dyDescent="0.3">
      <c r="A115" s="54"/>
      <c r="B115" s="50"/>
      <c r="C115" s="42" t="s">
        <v>122</v>
      </c>
      <c r="D115" s="42"/>
      <c r="E115" s="42" t="s">
        <v>39</v>
      </c>
      <c r="F115" s="42"/>
      <c r="G115" s="16">
        <v>0.5</v>
      </c>
      <c r="H115" s="16">
        <v>0.5</v>
      </c>
      <c r="I115" s="16">
        <v>0.5</v>
      </c>
      <c r="J115" s="16">
        <v>0.5</v>
      </c>
      <c r="K115" s="16">
        <v>0.5</v>
      </c>
      <c r="L115" s="16">
        <v>0.5</v>
      </c>
      <c r="M115" s="16">
        <v>0.5</v>
      </c>
      <c r="N115" s="16">
        <v>0.5</v>
      </c>
      <c r="O115" s="16">
        <v>0.5</v>
      </c>
      <c r="P115" s="16">
        <v>0.5</v>
      </c>
      <c r="Q115" s="16">
        <v>0.5</v>
      </c>
      <c r="R115" s="16">
        <v>0.5</v>
      </c>
      <c r="S115" s="16">
        <v>0.5</v>
      </c>
      <c r="T115" s="16">
        <v>0.5</v>
      </c>
      <c r="U115" s="16">
        <v>0.5</v>
      </c>
      <c r="V115" s="17">
        <v>0</v>
      </c>
      <c r="W115" s="16">
        <v>0</v>
      </c>
      <c r="X115" s="16">
        <v>0</v>
      </c>
    </row>
    <row r="116" spans="1:24" x14ac:dyDescent="0.3">
      <c r="A116" s="54"/>
      <c r="B116" s="50"/>
      <c r="C116" s="42" t="s">
        <v>123</v>
      </c>
      <c r="D116" s="42"/>
      <c r="E116" s="42" t="s">
        <v>39</v>
      </c>
      <c r="F116" s="42"/>
      <c r="G116" s="16">
        <v>0.5</v>
      </c>
      <c r="H116" s="16">
        <v>0.5</v>
      </c>
      <c r="I116" s="16">
        <v>0.5</v>
      </c>
      <c r="J116" s="16">
        <v>0.5</v>
      </c>
      <c r="K116" s="16">
        <v>0.5</v>
      </c>
      <c r="L116" s="16">
        <v>0.5</v>
      </c>
      <c r="M116" s="16">
        <v>0.5</v>
      </c>
      <c r="N116" s="16">
        <v>0.5</v>
      </c>
      <c r="O116" s="16">
        <v>0.5</v>
      </c>
      <c r="P116" s="16">
        <v>0.5</v>
      </c>
      <c r="Q116" s="16">
        <v>0.5</v>
      </c>
      <c r="R116" s="16">
        <v>0.5</v>
      </c>
      <c r="S116" s="16">
        <v>0.5</v>
      </c>
      <c r="T116" s="16">
        <v>0.5</v>
      </c>
      <c r="U116" s="16">
        <v>0.5</v>
      </c>
      <c r="V116" s="17">
        <v>0</v>
      </c>
      <c r="W116" s="16">
        <v>0</v>
      </c>
      <c r="X116" s="16">
        <v>0</v>
      </c>
    </row>
    <row r="117" spans="1:24" x14ac:dyDescent="0.3">
      <c r="A117" s="54"/>
      <c r="B117" s="50"/>
      <c r="C117" s="42" t="s">
        <v>124</v>
      </c>
      <c r="D117" s="42"/>
      <c r="E117" s="42" t="s">
        <v>39</v>
      </c>
      <c r="F117" s="42"/>
      <c r="G117" s="16">
        <v>0.5</v>
      </c>
      <c r="H117" s="16">
        <v>0.5</v>
      </c>
      <c r="I117" s="16">
        <v>0.5</v>
      </c>
      <c r="J117" s="16">
        <v>0.5</v>
      </c>
      <c r="K117" s="16">
        <v>0.5</v>
      </c>
      <c r="L117" s="16">
        <v>0.5</v>
      </c>
      <c r="M117" s="16">
        <v>0.5</v>
      </c>
      <c r="N117" s="16">
        <v>0.5</v>
      </c>
      <c r="O117" s="16">
        <v>0.5</v>
      </c>
      <c r="P117" s="16">
        <v>0.5</v>
      </c>
      <c r="Q117" s="16">
        <v>0.5</v>
      </c>
      <c r="R117" s="16">
        <v>0.5</v>
      </c>
      <c r="S117" s="16">
        <v>0.5</v>
      </c>
      <c r="T117" s="16">
        <v>0.5</v>
      </c>
      <c r="U117" s="16">
        <v>0.5</v>
      </c>
      <c r="V117" s="17">
        <v>0</v>
      </c>
      <c r="W117" s="16">
        <v>0</v>
      </c>
      <c r="X117" s="16">
        <v>0</v>
      </c>
    </row>
    <row r="118" spans="1:24" x14ac:dyDescent="0.3">
      <c r="A118" s="54"/>
      <c r="B118" s="50"/>
      <c r="C118" s="42" t="s">
        <v>125</v>
      </c>
      <c r="D118" s="42"/>
      <c r="E118" s="42" t="s">
        <v>39</v>
      </c>
      <c r="F118" s="42"/>
      <c r="G118" s="16">
        <v>0.5</v>
      </c>
      <c r="H118" s="16">
        <v>0.5</v>
      </c>
      <c r="I118" s="16">
        <v>0.5</v>
      </c>
      <c r="J118" s="16">
        <v>0.5</v>
      </c>
      <c r="K118" s="16">
        <v>0.5</v>
      </c>
      <c r="L118" s="16">
        <v>0.5</v>
      </c>
      <c r="M118" s="16">
        <v>0.5</v>
      </c>
      <c r="N118" s="16">
        <v>0.5</v>
      </c>
      <c r="O118" s="16">
        <v>0.5</v>
      </c>
      <c r="P118" s="16">
        <v>0.5</v>
      </c>
      <c r="Q118" s="16">
        <v>0.5</v>
      </c>
      <c r="R118" s="16">
        <v>0.5</v>
      </c>
      <c r="S118" s="16">
        <v>0.5</v>
      </c>
      <c r="T118" s="16">
        <v>0.5</v>
      </c>
      <c r="U118" s="16">
        <v>0.5</v>
      </c>
      <c r="V118" s="17">
        <v>0</v>
      </c>
      <c r="W118" s="16">
        <v>0</v>
      </c>
      <c r="X118" s="16">
        <v>0</v>
      </c>
    </row>
    <row r="119" spans="1:24" x14ac:dyDescent="0.3">
      <c r="A119" s="54"/>
      <c r="B119" s="50"/>
      <c r="C119" s="42" t="s">
        <v>126</v>
      </c>
      <c r="D119" s="42"/>
      <c r="E119" s="42" t="s">
        <v>39</v>
      </c>
      <c r="F119" s="42"/>
      <c r="G119" s="16">
        <v>0.5</v>
      </c>
      <c r="H119" s="16">
        <v>0.5</v>
      </c>
      <c r="I119" s="16">
        <v>0.5</v>
      </c>
      <c r="J119" s="16">
        <v>0.5</v>
      </c>
      <c r="K119" s="16">
        <v>0.5</v>
      </c>
      <c r="L119" s="16">
        <v>0.5</v>
      </c>
      <c r="M119" s="16">
        <v>0.5</v>
      </c>
      <c r="N119" s="16">
        <v>0.5</v>
      </c>
      <c r="O119" s="16">
        <v>0.5</v>
      </c>
      <c r="P119" s="16">
        <v>0.5</v>
      </c>
      <c r="Q119" s="16">
        <v>0.5</v>
      </c>
      <c r="R119" s="16">
        <v>0.5</v>
      </c>
      <c r="S119" s="16">
        <v>0.5</v>
      </c>
      <c r="T119" s="16">
        <v>0.5</v>
      </c>
      <c r="U119" s="16">
        <v>0.5</v>
      </c>
      <c r="V119" s="17">
        <v>0</v>
      </c>
      <c r="W119" s="16">
        <v>0</v>
      </c>
      <c r="X119" s="16">
        <v>0</v>
      </c>
    </row>
    <row r="120" spans="1:24" x14ac:dyDescent="0.3">
      <c r="A120" s="54"/>
      <c r="B120" s="50"/>
      <c r="C120" s="42" t="s">
        <v>127</v>
      </c>
      <c r="D120" s="42"/>
      <c r="E120" s="42" t="s">
        <v>39</v>
      </c>
      <c r="F120" s="42"/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  <c r="R120" s="16">
        <v>1</v>
      </c>
      <c r="S120" s="16">
        <v>1</v>
      </c>
      <c r="T120" s="16">
        <v>1</v>
      </c>
      <c r="U120" s="16">
        <v>1</v>
      </c>
      <c r="V120" s="17">
        <v>0</v>
      </c>
      <c r="W120" s="16">
        <v>0</v>
      </c>
      <c r="X120" s="16">
        <v>0</v>
      </c>
    </row>
    <row r="121" spans="1:24" x14ac:dyDescent="0.3">
      <c r="A121" s="54"/>
      <c r="B121" s="50"/>
      <c r="C121" s="42" t="s">
        <v>128</v>
      </c>
      <c r="D121" s="42"/>
      <c r="E121" s="42" t="s">
        <v>39</v>
      </c>
      <c r="F121" s="42"/>
      <c r="G121" s="16">
        <v>0.5</v>
      </c>
      <c r="H121" s="16">
        <v>0.5</v>
      </c>
      <c r="I121" s="16">
        <v>0.5</v>
      </c>
      <c r="J121" s="16">
        <v>0.5</v>
      </c>
      <c r="K121" s="16">
        <v>0.5</v>
      </c>
      <c r="L121" s="16">
        <v>0.5</v>
      </c>
      <c r="M121" s="16">
        <v>0.5</v>
      </c>
      <c r="N121" s="16">
        <v>0.5</v>
      </c>
      <c r="O121" s="16">
        <v>0.5</v>
      </c>
      <c r="P121" s="16">
        <v>0.5</v>
      </c>
      <c r="Q121" s="16">
        <v>0.5</v>
      </c>
      <c r="R121" s="16">
        <v>0.5</v>
      </c>
      <c r="S121" s="16">
        <v>0.5</v>
      </c>
      <c r="T121" s="16">
        <v>0.5</v>
      </c>
      <c r="U121" s="16">
        <v>0.5</v>
      </c>
      <c r="V121" s="17">
        <v>0</v>
      </c>
      <c r="W121" s="16">
        <v>0</v>
      </c>
      <c r="X121" s="16">
        <v>0</v>
      </c>
    </row>
    <row r="122" spans="1:24" x14ac:dyDescent="0.3">
      <c r="A122" s="54"/>
      <c r="B122" s="43" t="s">
        <v>18</v>
      </c>
      <c r="C122" s="42" t="s">
        <v>129</v>
      </c>
      <c r="D122" s="42"/>
      <c r="E122" s="42" t="s">
        <v>22</v>
      </c>
      <c r="F122" s="42"/>
      <c r="G122" s="16">
        <v>2</v>
      </c>
      <c r="H122" s="16">
        <v>2</v>
      </c>
      <c r="I122" s="16">
        <v>2</v>
      </c>
      <c r="J122" s="16">
        <v>2</v>
      </c>
      <c r="K122" s="16">
        <v>2</v>
      </c>
      <c r="L122" s="16">
        <v>2</v>
      </c>
      <c r="M122" s="16">
        <v>2</v>
      </c>
      <c r="N122" s="16">
        <v>2</v>
      </c>
      <c r="O122" s="16">
        <v>2</v>
      </c>
      <c r="P122" s="16">
        <v>2</v>
      </c>
      <c r="Q122" s="16">
        <v>2</v>
      </c>
      <c r="R122" s="16">
        <v>2</v>
      </c>
      <c r="S122" s="16">
        <v>2</v>
      </c>
      <c r="T122" s="16">
        <v>2</v>
      </c>
      <c r="U122" s="16">
        <v>2</v>
      </c>
      <c r="V122" s="16">
        <v>2</v>
      </c>
      <c r="W122" s="16">
        <v>2</v>
      </c>
      <c r="X122" s="17">
        <v>0</v>
      </c>
    </row>
    <row r="123" spans="1:24" x14ac:dyDescent="0.3">
      <c r="A123" s="54"/>
      <c r="B123" s="43"/>
      <c r="C123" s="42" t="s">
        <v>130</v>
      </c>
      <c r="D123" s="42"/>
      <c r="E123" s="42" t="s">
        <v>22</v>
      </c>
      <c r="F123" s="42"/>
      <c r="G123" s="16">
        <v>2</v>
      </c>
      <c r="H123" s="16">
        <v>2</v>
      </c>
      <c r="I123" s="16">
        <v>2</v>
      </c>
      <c r="J123" s="16">
        <v>2</v>
      </c>
      <c r="K123" s="16">
        <v>2</v>
      </c>
      <c r="L123" s="16">
        <v>2</v>
      </c>
      <c r="M123" s="16">
        <v>2</v>
      </c>
      <c r="N123" s="16">
        <v>2</v>
      </c>
      <c r="O123" s="16">
        <v>2</v>
      </c>
      <c r="P123" s="16">
        <v>2</v>
      </c>
      <c r="Q123" s="16">
        <v>2</v>
      </c>
      <c r="R123" s="16">
        <v>2</v>
      </c>
      <c r="S123" s="16">
        <v>2</v>
      </c>
      <c r="T123" s="16">
        <v>2</v>
      </c>
      <c r="U123" s="16">
        <v>2</v>
      </c>
      <c r="V123" s="16">
        <v>2</v>
      </c>
      <c r="W123" s="16">
        <v>2</v>
      </c>
      <c r="X123" s="17">
        <v>0</v>
      </c>
    </row>
    <row r="124" spans="1:24" x14ac:dyDescent="0.3">
      <c r="A124" s="54"/>
      <c r="B124" s="51" t="s">
        <v>11</v>
      </c>
      <c r="C124" s="51"/>
      <c r="D124" s="51"/>
      <c r="E124" s="52" t="s">
        <v>131</v>
      </c>
      <c r="F124" s="42"/>
      <c r="G124" s="43">
        <f>SUM(G16:G123)</f>
        <v>149</v>
      </c>
      <c r="H124" s="43"/>
      <c r="I124" s="16">
        <f>SUM(I16:I123)-J19</f>
        <v>147</v>
      </c>
      <c r="J124" s="16">
        <f>SUM(J16:J123)</f>
        <v>142</v>
      </c>
      <c r="K124" s="16">
        <f>SUM(K16:K123)+L31</f>
        <v>133</v>
      </c>
      <c r="L124" s="16">
        <f>SUM(L16:L123)-M37</f>
        <v>125</v>
      </c>
      <c r="M124" s="16">
        <f>SUM(M16:M123)</f>
        <v>118</v>
      </c>
      <c r="N124" s="16">
        <f>SUM(N16:N123)</f>
        <v>104</v>
      </c>
      <c r="O124" s="16">
        <f>SUM(O16:O123)+P61-P64</f>
        <v>93</v>
      </c>
      <c r="P124" s="16">
        <f>SUM(P16:P123)-P64+P61</f>
        <v>82</v>
      </c>
      <c r="Q124" s="16">
        <f>SUM(Q16:Q123)+Q69</f>
        <v>65</v>
      </c>
      <c r="R124" s="16">
        <f>SUM(R16:R123)-S93</f>
        <v>46</v>
      </c>
      <c r="S124" s="16">
        <f>SUM(S16:S123)-S93</f>
        <v>27</v>
      </c>
      <c r="T124" s="16">
        <f>SUM(T16:T123)</f>
        <v>12</v>
      </c>
      <c r="U124" s="16">
        <f>SUM(U16:U123)</f>
        <v>8</v>
      </c>
      <c r="V124" s="16">
        <f>SUM(V16:V123)</f>
        <v>4</v>
      </c>
      <c r="W124" s="16">
        <f>SUM(W16:W123)</f>
        <v>4</v>
      </c>
      <c r="X124" s="16">
        <f>SUM(X16:X123)</f>
        <v>0</v>
      </c>
    </row>
    <row r="125" spans="1:24" x14ac:dyDescent="0.3">
      <c r="A125" s="54"/>
      <c r="B125" s="51"/>
      <c r="C125" s="51"/>
      <c r="D125" s="51"/>
      <c r="E125" s="52" t="s">
        <v>132</v>
      </c>
      <c r="F125" s="52"/>
      <c r="G125" s="43">
        <f>SUM(H16:H123)</f>
        <v>150</v>
      </c>
      <c r="H125" s="43"/>
      <c r="I125" s="16">
        <f>SUM(I16:I123)</f>
        <v>150</v>
      </c>
      <c r="J125" s="16">
        <f t="shared" ref="J125:X125" si="0">SUM(J16:J123)</f>
        <v>142</v>
      </c>
      <c r="K125" s="16">
        <f t="shared" si="0"/>
        <v>131</v>
      </c>
      <c r="L125" s="16">
        <f t="shared" si="0"/>
        <v>126</v>
      </c>
      <c r="M125" s="16">
        <f t="shared" si="0"/>
        <v>118</v>
      </c>
      <c r="N125" s="16">
        <f t="shared" si="0"/>
        <v>104</v>
      </c>
      <c r="O125" s="16">
        <f t="shared" si="0"/>
        <v>92</v>
      </c>
      <c r="P125" s="16">
        <f t="shared" si="0"/>
        <v>81</v>
      </c>
      <c r="Q125" s="16">
        <f t="shared" si="0"/>
        <v>64</v>
      </c>
      <c r="R125" s="16">
        <f t="shared" si="0"/>
        <v>47</v>
      </c>
      <c r="S125" s="16">
        <f t="shared" si="0"/>
        <v>28</v>
      </c>
      <c r="T125" s="16">
        <f t="shared" si="0"/>
        <v>12</v>
      </c>
      <c r="U125" s="16">
        <f t="shared" si="0"/>
        <v>8</v>
      </c>
      <c r="V125" s="16">
        <f t="shared" si="0"/>
        <v>4</v>
      </c>
      <c r="W125" s="16">
        <f t="shared" si="0"/>
        <v>4</v>
      </c>
      <c r="X125" s="16">
        <f t="shared" si="0"/>
        <v>0</v>
      </c>
    </row>
  </sheetData>
  <mergeCells count="237">
    <mergeCell ref="G124:H124"/>
    <mergeCell ref="G125:H125"/>
    <mergeCell ref="C19:D19"/>
    <mergeCell ref="E19:F19"/>
    <mergeCell ref="C31:D31"/>
    <mergeCell ref="E31:F31"/>
    <mergeCell ref="C37:D37"/>
    <mergeCell ref="E37:F37"/>
    <mergeCell ref="C69:D69"/>
    <mergeCell ref="E69:F69"/>
    <mergeCell ref="C93:D93"/>
    <mergeCell ref="E93:F93"/>
    <mergeCell ref="C64:D64"/>
    <mergeCell ref="E64:F64"/>
    <mergeCell ref="C61:D61"/>
    <mergeCell ref="E61:F61"/>
    <mergeCell ref="C118:D118"/>
    <mergeCell ref="E118:F118"/>
    <mergeCell ref="C119:D119"/>
    <mergeCell ref="E119:F119"/>
    <mergeCell ref="E120:F120"/>
    <mergeCell ref="C121:D121"/>
    <mergeCell ref="E121:F121"/>
    <mergeCell ref="B122:B123"/>
    <mergeCell ref="C122:D122"/>
    <mergeCell ref="E122:F122"/>
    <mergeCell ref="C123:D123"/>
    <mergeCell ref="E123:F123"/>
    <mergeCell ref="B124:D125"/>
    <mergeCell ref="E124:F124"/>
    <mergeCell ref="E125:F125"/>
    <mergeCell ref="C107:D107"/>
    <mergeCell ref="E107:F107"/>
    <mergeCell ref="C108:D108"/>
    <mergeCell ref="E108:F108"/>
    <mergeCell ref="C109:D109"/>
    <mergeCell ref="E109:F109"/>
    <mergeCell ref="B110:B121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20:D120"/>
    <mergeCell ref="B33:B45"/>
    <mergeCell ref="B46:B84"/>
    <mergeCell ref="B85:B97"/>
    <mergeCell ref="C96:D96"/>
    <mergeCell ref="C97:D97"/>
    <mergeCell ref="B98:B109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87:D87"/>
    <mergeCell ref="C86:D86"/>
    <mergeCell ref="C85:D85"/>
    <mergeCell ref="C84:D84"/>
    <mergeCell ref="C52:D52"/>
    <mergeCell ref="C53:D53"/>
    <mergeCell ref="C54:D54"/>
    <mergeCell ref="C50:D50"/>
    <mergeCell ref="C59:D59"/>
    <mergeCell ref="C60:D60"/>
    <mergeCell ref="C63:D63"/>
    <mergeCell ref="C65:D65"/>
    <mergeCell ref="C75:D75"/>
    <mergeCell ref="C81:D81"/>
    <mergeCell ref="C82:D82"/>
    <mergeCell ref="C56:D56"/>
    <mergeCell ref="C57:D57"/>
    <mergeCell ref="C22:D22"/>
    <mergeCell ref="C24:D24"/>
    <mergeCell ref="C25:D25"/>
    <mergeCell ref="C26:D26"/>
    <mergeCell ref="C29:D29"/>
    <mergeCell ref="C30:D30"/>
    <mergeCell ref="C32:D32"/>
    <mergeCell ref="E34:F34"/>
    <mergeCell ref="E70:F70"/>
    <mergeCell ref="C46:D46"/>
    <mergeCell ref="C48:D48"/>
    <mergeCell ref="C47:D47"/>
    <mergeCell ref="C49:D49"/>
    <mergeCell ref="C66:D66"/>
    <mergeCell ref="C68:D68"/>
    <mergeCell ref="C55:D55"/>
    <mergeCell ref="C58:D58"/>
    <mergeCell ref="C67:D67"/>
    <mergeCell ref="E63:F63"/>
    <mergeCell ref="E65:F65"/>
    <mergeCell ref="E56:F56"/>
    <mergeCell ref="A1:B1"/>
    <mergeCell ref="A2:B2"/>
    <mergeCell ref="A3:B3"/>
    <mergeCell ref="A4:B4"/>
    <mergeCell ref="C20:D20"/>
    <mergeCell ref="B6:E6"/>
    <mergeCell ref="B13:C13"/>
    <mergeCell ref="C15:D15"/>
    <mergeCell ref="E15:F15"/>
    <mergeCell ref="B16:D16"/>
    <mergeCell ref="B17:D17"/>
    <mergeCell ref="B20:B32"/>
    <mergeCell ref="A16:A125"/>
    <mergeCell ref="B18:D18"/>
    <mergeCell ref="E33:F33"/>
    <mergeCell ref="E49:F49"/>
    <mergeCell ref="E35:F35"/>
    <mergeCell ref="E36:F36"/>
    <mergeCell ref="E38:F38"/>
    <mergeCell ref="C41:D41"/>
    <mergeCell ref="C42:D42"/>
    <mergeCell ref="C43:D43"/>
    <mergeCell ref="C44:D44"/>
    <mergeCell ref="C45:D45"/>
    <mergeCell ref="C33:D33"/>
    <mergeCell ref="C34:D34"/>
    <mergeCell ref="C35:D35"/>
    <mergeCell ref="C36:D36"/>
    <mergeCell ref="C38:D38"/>
    <mergeCell ref="E41:F41"/>
    <mergeCell ref="C28:D28"/>
    <mergeCell ref="C27:D27"/>
    <mergeCell ref="C39:D39"/>
    <mergeCell ref="C40:D40"/>
    <mergeCell ref="C23:D23"/>
    <mergeCell ref="E23:F23"/>
    <mergeCell ref="C21:D21"/>
    <mergeCell ref="E32:F32"/>
    <mergeCell ref="E43:F43"/>
    <mergeCell ref="E57:F57"/>
    <mergeCell ref="C62:D62"/>
    <mergeCell ref="E54:F54"/>
    <mergeCell ref="E51:F51"/>
    <mergeCell ref="E55:F55"/>
    <mergeCell ref="E58:F58"/>
    <mergeCell ref="E59:F59"/>
    <mergeCell ref="E60:F60"/>
    <mergeCell ref="C51:D51"/>
    <mergeCell ref="E62:F62"/>
    <mergeCell ref="E52:F52"/>
    <mergeCell ref="E53:F53"/>
    <mergeCell ref="E96:F96"/>
    <mergeCell ref="E97:F97"/>
    <mergeCell ref="E85:F85"/>
    <mergeCell ref="E86:F86"/>
    <mergeCell ref="E87:F87"/>
    <mergeCell ref="E88:F88"/>
    <mergeCell ref="E89:F89"/>
    <mergeCell ref="E50:F50"/>
    <mergeCell ref="E16:F16"/>
    <mergeCell ref="E17:F17"/>
    <mergeCell ref="E18:F18"/>
    <mergeCell ref="E20:F20"/>
    <mergeCell ref="E21:F21"/>
    <mergeCell ref="E22:F22"/>
    <mergeCell ref="E24:F24"/>
    <mergeCell ref="E25:F25"/>
    <mergeCell ref="E42:F42"/>
    <mergeCell ref="E28:F28"/>
    <mergeCell ref="E27:F27"/>
    <mergeCell ref="E39:F39"/>
    <mergeCell ref="E40:F40"/>
    <mergeCell ref="E26:F26"/>
    <mergeCell ref="E29:F29"/>
    <mergeCell ref="E30:F30"/>
    <mergeCell ref="E44:F44"/>
    <mergeCell ref="E45:F45"/>
    <mergeCell ref="E46:F46"/>
    <mergeCell ref="E47:F47"/>
    <mergeCell ref="E48:F48"/>
    <mergeCell ref="E68:F68"/>
    <mergeCell ref="E67:F67"/>
    <mergeCell ref="E66:F66"/>
    <mergeCell ref="E92:F92"/>
    <mergeCell ref="E90:F90"/>
    <mergeCell ref="E91:F91"/>
    <mergeCell ref="E84:F84"/>
    <mergeCell ref="E76:F76"/>
    <mergeCell ref="E77:F77"/>
    <mergeCell ref="E71:F71"/>
    <mergeCell ref="E72:F72"/>
    <mergeCell ref="E73:F73"/>
    <mergeCell ref="E75:F75"/>
    <mergeCell ref="E74:F74"/>
    <mergeCell ref="E81:F81"/>
    <mergeCell ref="E82:F82"/>
    <mergeCell ref="C95:D95"/>
    <mergeCell ref="C92:D92"/>
    <mergeCell ref="C90:D90"/>
    <mergeCell ref="C91:D91"/>
    <mergeCell ref="C74:D74"/>
    <mergeCell ref="E83:F83"/>
    <mergeCell ref="C70:D70"/>
    <mergeCell ref="C71:D71"/>
    <mergeCell ref="C72:D72"/>
    <mergeCell ref="C83:D83"/>
    <mergeCell ref="C80:D80"/>
    <mergeCell ref="C79:D79"/>
    <mergeCell ref="C73:D73"/>
    <mergeCell ref="C76:D76"/>
    <mergeCell ref="C77:D77"/>
    <mergeCell ref="C78:D78"/>
    <mergeCell ref="E78:F78"/>
    <mergeCell ref="E79:F79"/>
    <mergeCell ref="E80:F80"/>
    <mergeCell ref="E94:F94"/>
    <mergeCell ref="E95:F95"/>
    <mergeCell ref="C94:D94"/>
    <mergeCell ref="C89:D89"/>
    <mergeCell ref="C88:D88"/>
  </mergeCells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120-0DBB-46AC-BB5D-7F0AC7652247}">
  <dimension ref="A1:AF157"/>
  <sheetViews>
    <sheetView tabSelected="1" topLeftCell="A47" zoomScale="46" zoomScaleNormal="70" workbookViewId="0">
      <selection activeCell="B70" sqref="B70:B80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58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32" ht="51" thickBot="1" x14ac:dyDescent="0.35">
      <c r="A1" s="44" t="s">
        <v>3</v>
      </c>
      <c r="B1" s="44"/>
      <c r="C1" s="30" t="s">
        <v>134</v>
      </c>
      <c r="E1" s="7"/>
      <c r="F1" s="8" t="s">
        <v>29</v>
      </c>
    </row>
    <row r="2" spans="1:32" ht="17.399999999999999" thickBot="1" x14ac:dyDescent="0.35">
      <c r="A2" s="44" t="s">
        <v>2</v>
      </c>
      <c r="B2" s="44"/>
      <c r="C2" s="2" t="s">
        <v>19</v>
      </c>
      <c r="E2" s="10"/>
      <c r="F2" s="9" t="s">
        <v>28</v>
      </c>
    </row>
    <row r="3" spans="1:32" ht="17.399999999999999" thickBot="1" x14ac:dyDescent="0.35">
      <c r="A3" s="44" t="s">
        <v>1</v>
      </c>
      <c r="B3" s="44"/>
      <c r="C3" s="31">
        <v>46117</v>
      </c>
      <c r="E3" s="11"/>
      <c r="F3" s="12" t="s">
        <v>27</v>
      </c>
    </row>
    <row r="4" spans="1:32" ht="17.25" customHeight="1" thickBot="1" x14ac:dyDescent="0.35">
      <c r="A4" s="44" t="s">
        <v>0</v>
      </c>
      <c r="B4" s="44"/>
      <c r="C4" s="31">
        <v>46131</v>
      </c>
    </row>
    <row r="5" spans="1:32" ht="16.5" customHeight="1" thickBot="1" x14ac:dyDescent="0.35"/>
    <row r="6" spans="1:32" ht="17.399999999999999" thickBot="1" x14ac:dyDescent="0.35">
      <c r="B6" s="45" t="s">
        <v>5</v>
      </c>
      <c r="C6" s="45"/>
      <c r="D6" s="45"/>
      <c r="E6" s="45"/>
    </row>
    <row r="7" spans="1:32" ht="17.399999999999999" thickBot="1" x14ac:dyDescent="0.35">
      <c r="B7" s="4" t="s">
        <v>6</v>
      </c>
      <c r="C7" s="4" t="s">
        <v>24</v>
      </c>
      <c r="D7" s="4" t="s">
        <v>10</v>
      </c>
      <c r="E7" s="4" t="s">
        <v>23</v>
      </c>
    </row>
    <row r="8" spans="1:32" ht="17.399999999999999" thickBot="1" x14ac:dyDescent="0.35">
      <c r="B8" s="6">
        <v>1</v>
      </c>
      <c r="C8" s="2" t="s">
        <v>30</v>
      </c>
      <c r="D8" s="2">
        <f ca="1">SUMIF($E$16:$F$92,"Hội",$G$16:$G$92)+SUMIF($E$16:$F$92,"All team",$G$16:$G$92)/5+SUMIF($E$16:$F$92,"Hội, Giang",$G$16:$G$92)/2+SUMIF($E$16:$F$92,"Hội, Khang, Lĩnh, Giang",$G$16:$G$92)/4</f>
        <v>20.149999999999999</v>
      </c>
      <c r="E8" s="2">
        <f ca="1">SUMIF($E$16:$F$92,"Hội",$H$16:$H$91)+SUMIF($E$16:$F$92,"All team",$H$16:$H$91)/5+SUMIF($E$16:$F$92,"Hội, Giang",$H$16:$H$91)/2+SUMIF($E$16:$F$92,"Hội, Khang, Lĩnh, Giang",$H$16:$H$91)/4</f>
        <v>32.35</v>
      </c>
    </row>
    <row r="9" spans="1:32" ht="17.399999999999999" thickBot="1" x14ac:dyDescent="0.35">
      <c r="B9" s="6">
        <v>2</v>
      </c>
      <c r="C9" s="2" t="s">
        <v>31</v>
      </c>
      <c r="D9" s="2">
        <f ca="1">SUMIF($E$16:$F$92,"Giang",$G$16:$G$92)+SUMIF($E$16:$F$92,"All team",$G$16:$G$92)/5+SUMIF($E$16:$F$92,"Hội, Giang",$G$16:$G$92)/2+SUMIF($E$16:$F$92,"Hội, Khang, Lĩnh, Giang",$G$16:$G$92)/4++SUMIF($E$16:$F$92,"Lĩnh, Giang",$G$16:$G$92)/2</f>
        <v>22.65</v>
      </c>
      <c r="E9" s="2">
        <f ca="1">SUMIF($E$16:$F$92,"Giang",$H$16:$H$91)+SUMIF($E$16:$F$92,"All team",$H$16:$H$91)/5+SUMIF($E$16:$F$92,"Hội, Giang",$H$16:$H$91)/2+SUMIF($E$16:$F$92,"Hội, Khang, Lĩnh, Giang",$H$16:$H$91)/4+SUMIF($E$16:$F$92,"Lĩnh, Giang",$H$16:$H$91)/2</f>
        <v>39.85</v>
      </c>
    </row>
    <row r="10" spans="1:32" ht="17.399999999999999" thickBot="1" x14ac:dyDescent="0.35">
      <c r="B10" s="6">
        <v>3</v>
      </c>
      <c r="C10" s="2" t="s">
        <v>32</v>
      </c>
      <c r="D10" s="2">
        <f ca="1">SUMIF($E$16:$F$92,"Nhi",$G$16:$G$92)+SUMIF($E$16:$F$92,"All team",$G$16:$G$92)/5</f>
        <v>17.399999999999999</v>
      </c>
      <c r="E10" s="2">
        <f ca="1">SUMIF($E$16:$F$92,"Nhi",$H$16:$H$91)+SUMIF($E$16:$F$92,"All team",$H$16:$H$91)/5</f>
        <v>37.6</v>
      </c>
    </row>
    <row r="11" spans="1:32" ht="17.399999999999999" thickBot="1" x14ac:dyDescent="0.35">
      <c r="B11" s="6">
        <v>4</v>
      </c>
      <c r="C11" s="2" t="s">
        <v>33</v>
      </c>
      <c r="D11" s="2">
        <f ca="1">SUMIF($E$16:$F$92,"Khang",$G$16:$G$92)+SUMIF($E$16:$F$92,"All team",$G$16:$G$92)/5+SUMIF($E$16:$F$92,"Khang, Lĩnh",$G$16:$G$92)/2+SUMIF($E$16:$F$92,"Hội, Khang, Lĩnh, Giang",$G$16:$G$92)/4</f>
        <v>14.65</v>
      </c>
      <c r="E11" s="2">
        <f ca="1">SUMIF($E$16:$F$92,"Khang",$H$16:$H$91)+SUMIF($E$16:$F$92,"All team",$H$16:$H$91)/5+SUMIF($E$16:$F$92,"Khang, Lĩnh",$H$16:$H$91)/2+SUMIF($E$16:$F$92,"Hội, Khang, Lĩnh, Giang",$H$16:$H$91)/4</f>
        <v>23.35</v>
      </c>
    </row>
    <row r="12" spans="1:32" ht="17.399999999999999" thickBot="1" x14ac:dyDescent="0.35">
      <c r="B12" s="6">
        <v>5</v>
      </c>
      <c r="C12" s="2" t="s">
        <v>34</v>
      </c>
      <c r="D12" s="2">
        <f ca="1">SUMIF($E$16:$F$92,"Lĩnh",$G$16:$G$92)+SUMIF($E$16:$F$92,"All team",$G$16:$G$92)/5+SUMIF($E$16:$F$92,"Lĩnh, Giang",$G$16:$G$92)/2+SUMIF($E$16:$F$92,"Hội, Khang, Lĩnh, Giang",$G$16:$G$92)/4</f>
        <v>11.65</v>
      </c>
      <c r="E12" s="2">
        <f ca="1">SUMIF($E$16:$F$92,"Lĩnh",$H$16:$H$91)+SUMIF($E$16:$F$92,"All team",$H$16:$H$91)/5+SUMIF($E$16:$F$92,"Lĩnh, Giang",$H$16:$H$91)/2+SUMIF($E$16:$F$92,"Hội, Khang, Lĩnh, Giang",$H$16:$H$91)/4</f>
        <v>18.850000000000001</v>
      </c>
    </row>
    <row r="13" spans="1:32" ht="17.399999999999999" thickBot="1" x14ac:dyDescent="0.35">
      <c r="B13" s="45" t="s">
        <v>11</v>
      </c>
      <c r="C13" s="45"/>
      <c r="D13" s="3">
        <f ca="1">SUM(D8:D12)</f>
        <v>86.5</v>
      </c>
      <c r="E13" s="3">
        <f ca="1">SUM(E8:E12)</f>
        <v>152</v>
      </c>
    </row>
    <row r="15" spans="1:32" ht="62.25" customHeight="1" x14ac:dyDescent="0.3">
      <c r="A15" s="13" t="s">
        <v>7</v>
      </c>
      <c r="B15" s="13" t="s">
        <v>35</v>
      </c>
      <c r="C15" s="46" t="s">
        <v>8</v>
      </c>
      <c r="D15" s="46"/>
      <c r="E15" s="47" t="s">
        <v>9</v>
      </c>
      <c r="F15" s="47"/>
      <c r="G15" s="14" t="s">
        <v>10</v>
      </c>
      <c r="H15" s="14" t="s">
        <v>23</v>
      </c>
      <c r="I15" s="15">
        <v>46117</v>
      </c>
      <c r="J15" s="68">
        <v>46118</v>
      </c>
      <c r="K15" s="68">
        <v>46119</v>
      </c>
      <c r="L15" s="68">
        <v>46120</v>
      </c>
      <c r="M15" s="15">
        <v>46121</v>
      </c>
      <c r="N15" s="15">
        <v>46122</v>
      </c>
      <c r="O15" s="15">
        <v>46123</v>
      </c>
      <c r="P15" s="15">
        <v>46124</v>
      </c>
      <c r="Q15" s="15">
        <v>46125</v>
      </c>
      <c r="R15" s="15">
        <v>46126</v>
      </c>
      <c r="S15" s="15">
        <v>46127</v>
      </c>
      <c r="T15" s="15">
        <v>46128</v>
      </c>
      <c r="U15" s="15">
        <v>46129</v>
      </c>
      <c r="V15" s="15">
        <v>46130</v>
      </c>
      <c r="W15" s="15">
        <v>46131</v>
      </c>
      <c r="X15" s="67"/>
      <c r="Y15" s="5"/>
      <c r="Z15" s="5"/>
      <c r="AA15" s="5"/>
      <c r="AB15" s="5"/>
      <c r="AC15" s="5"/>
      <c r="AD15" s="5"/>
      <c r="AE15" s="5"/>
      <c r="AF15" s="5"/>
    </row>
    <row r="16" spans="1:32" x14ac:dyDescent="0.3">
      <c r="A16" s="53" t="s">
        <v>19</v>
      </c>
      <c r="B16" s="42" t="s">
        <v>135</v>
      </c>
      <c r="C16" s="42"/>
      <c r="D16" s="42"/>
      <c r="E16" s="42" t="s">
        <v>22</v>
      </c>
      <c r="F16" s="42"/>
      <c r="G16" s="69">
        <v>1</v>
      </c>
      <c r="H16" s="69">
        <v>2</v>
      </c>
      <c r="I16" s="66">
        <v>2</v>
      </c>
      <c r="J16" s="72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16">
        <v>0</v>
      </c>
      <c r="W16" s="16">
        <v>0</v>
      </c>
    </row>
    <row r="17" spans="1:23" x14ac:dyDescent="0.3">
      <c r="A17" s="54"/>
      <c r="B17" s="55"/>
      <c r="C17" s="73"/>
      <c r="D17" s="56"/>
      <c r="E17" s="55"/>
      <c r="F17" s="74"/>
      <c r="G17" s="69"/>
      <c r="H17" s="69"/>
      <c r="I17" s="66"/>
      <c r="J17" s="75">
        <v>1</v>
      </c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16"/>
      <c r="W17" s="16"/>
    </row>
    <row r="18" spans="1:23" x14ac:dyDescent="0.3">
      <c r="A18" s="54"/>
      <c r="B18" s="42" t="s">
        <v>136</v>
      </c>
      <c r="C18" s="42"/>
      <c r="D18" s="42"/>
      <c r="E18" s="42" t="s">
        <v>37</v>
      </c>
      <c r="F18" s="42"/>
      <c r="G18" s="69">
        <v>1</v>
      </c>
      <c r="H18" s="69">
        <v>2</v>
      </c>
      <c r="I18" s="66">
        <v>2</v>
      </c>
      <c r="J18" s="72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16">
        <v>0</v>
      </c>
      <c r="W18" s="16">
        <v>0</v>
      </c>
    </row>
    <row r="19" spans="1:23" x14ac:dyDescent="0.3">
      <c r="A19" s="54"/>
      <c r="B19" s="55"/>
      <c r="C19" s="73"/>
      <c r="D19" s="56"/>
      <c r="E19" s="55"/>
      <c r="F19" s="74"/>
      <c r="G19" s="69"/>
      <c r="H19" s="69"/>
      <c r="I19" s="66"/>
      <c r="J19" s="75">
        <v>1</v>
      </c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16"/>
      <c r="W19" s="16"/>
    </row>
    <row r="20" spans="1:23" x14ac:dyDescent="0.3">
      <c r="A20" s="54"/>
      <c r="B20" s="42" t="s">
        <v>137</v>
      </c>
      <c r="C20" s="42"/>
      <c r="D20" s="42"/>
      <c r="E20" s="42" t="s">
        <v>39</v>
      </c>
      <c r="F20" s="42"/>
      <c r="G20" s="69">
        <v>1</v>
      </c>
      <c r="H20" s="69">
        <v>3</v>
      </c>
      <c r="I20" s="66">
        <v>3</v>
      </c>
      <c r="J20" s="72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16">
        <v>0</v>
      </c>
      <c r="W20" s="16">
        <v>0</v>
      </c>
    </row>
    <row r="21" spans="1:23" x14ac:dyDescent="0.3">
      <c r="A21" s="54"/>
      <c r="B21" s="55"/>
      <c r="C21" s="73"/>
      <c r="D21" s="56"/>
      <c r="E21" s="55"/>
      <c r="F21" s="74"/>
      <c r="G21" s="69"/>
      <c r="H21" s="69"/>
      <c r="I21" s="66"/>
      <c r="J21" s="75">
        <v>2</v>
      </c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16"/>
      <c r="W21" s="16"/>
    </row>
    <row r="22" spans="1:23" x14ac:dyDescent="0.3">
      <c r="A22" s="54"/>
      <c r="B22" s="78" t="s">
        <v>13</v>
      </c>
      <c r="C22" s="42" t="s">
        <v>138</v>
      </c>
      <c r="D22" s="42"/>
      <c r="E22" s="42" t="s">
        <v>41</v>
      </c>
      <c r="F22" s="42"/>
      <c r="G22" s="69">
        <v>2</v>
      </c>
      <c r="H22" s="69">
        <v>5</v>
      </c>
      <c r="I22" s="66">
        <v>5</v>
      </c>
      <c r="J22" s="66">
        <v>5</v>
      </c>
      <c r="K22" s="72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16">
        <v>0</v>
      </c>
      <c r="W22" s="16">
        <v>0</v>
      </c>
    </row>
    <row r="23" spans="1:23" x14ac:dyDescent="0.3">
      <c r="A23" s="54"/>
      <c r="B23" s="79"/>
      <c r="C23" s="55"/>
      <c r="D23" s="56"/>
      <c r="E23" s="55"/>
      <c r="F23" s="74"/>
      <c r="G23" s="69"/>
      <c r="H23" s="69"/>
      <c r="I23" s="66"/>
      <c r="J23" s="66"/>
      <c r="K23" s="75">
        <v>3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16"/>
      <c r="W23" s="16"/>
    </row>
    <row r="24" spans="1:23" ht="16.8" customHeight="1" x14ac:dyDescent="0.3">
      <c r="A24" s="54"/>
      <c r="B24" s="79"/>
      <c r="C24" s="42" t="s">
        <v>139</v>
      </c>
      <c r="D24" s="42"/>
      <c r="E24" s="42" t="s">
        <v>41</v>
      </c>
      <c r="F24" s="42"/>
      <c r="G24" s="69">
        <v>1</v>
      </c>
      <c r="H24" s="69">
        <v>5</v>
      </c>
      <c r="I24" s="66">
        <v>5</v>
      </c>
      <c r="J24" s="66">
        <v>5</v>
      </c>
      <c r="K24" s="72">
        <v>0</v>
      </c>
      <c r="L24" s="66">
        <v>0</v>
      </c>
      <c r="M24" s="66">
        <v>0</v>
      </c>
      <c r="N24" s="66">
        <v>0</v>
      </c>
      <c r="O24" s="66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16">
        <v>0</v>
      </c>
      <c r="W24" s="16">
        <v>0</v>
      </c>
    </row>
    <row r="25" spans="1:23" ht="16.8" customHeight="1" x14ac:dyDescent="0.3">
      <c r="A25" s="54"/>
      <c r="B25" s="79"/>
      <c r="C25" s="55"/>
      <c r="D25" s="56"/>
      <c r="E25" s="55"/>
      <c r="F25" s="74"/>
      <c r="G25" s="69"/>
      <c r="H25" s="69"/>
      <c r="I25" s="66"/>
      <c r="J25" s="66"/>
      <c r="K25" s="75">
        <v>4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16"/>
      <c r="W25" s="16"/>
    </row>
    <row r="26" spans="1:23" x14ac:dyDescent="0.3">
      <c r="A26" s="54"/>
      <c r="B26" s="79"/>
      <c r="C26" s="42" t="s">
        <v>140</v>
      </c>
      <c r="D26" s="42"/>
      <c r="E26" s="42" t="s">
        <v>41</v>
      </c>
      <c r="F26" s="42"/>
      <c r="G26" s="69">
        <v>2</v>
      </c>
      <c r="H26" s="69">
        <v>5</v>
      </c>
      <c r="I26" s="66">
        <v>5</v>
      </c>
      <c r="J26" s="66">
        <v>5</v>
      </c>
      <c r="K26" s="72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16">
        <v>0</v>
      </c>
      <c r="W26" s="16">
        <v>0</v>
      </c>
    </row>
    <row r="27" spans="1:23" x14ac:dyDescent="0.3">
      <c r="A27" s="54"/>
      <c r="B27" s="79"/>
      <c r="C27" s="55"/>
      <c r="D27" s="56"/>
      <c r="E27" s="55"/>
      <c r="F27" s="74"/>
      <c r="G27" s="69"/>
      <c r="H27" s="69"/>
      <c r="I27" s="66"/>
      <c r="J27" s="66"/>
      <c r="K27" s="75">
        <v>3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16"/>
      <c r="W27" s="16"/>
    </row>
    <row r="28" spans="1:23" x14ac:dyDescent="0.3">
      <c r="A28" s="54"/>
      <c r="B28" s="79"/>
      <c r="C28" s="42" t="s">
        <v>141</v>
      </c>
      <c r="D28" s="42"/>
      <c r="E28" s="42" t="s">
        <v>41</v>
      </c>
      <c r="F28" s="42"/>
      <c r="G28" s="69">
        <v>3</v>
      </c>
      <c r="H28" s="69">
        <v>5</v>
      </c>
      <c r="I28" s="66">
        <v>5</v>
      </c>
      <c r="J28" s="66">
        <v>5</v>
      </c>
      <c r="K28" s="72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16">
        <v>0</v>
      </c>
      <c r="W28" s="16">
        <v>0</v>
      </c>
    </row>
    <row r="29" spans="1:23" x14ac:dyDescent="0.3">
      <c r="A29" s="54"/>
      <c r="B29" s="79"/>
      <c r="C29" s="55"/>
      <c r="D29" s="56"/>
      <c r="E29" s="55"/>
      <c r="F29" s="74"/>
      <c r="G29" s="69"/>
      <c r="H29" s="69"/>
      <c r="I29" s="66"/>
      <c r="J29" s="66"/>
      <c r="K29" s="75">
        <v>2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16"/>
      <c r="W29" s="16"/>
    </row>
    <row r="30" spans="1:23" x14ac:dyDescent="0.3">
      <c r="A30" s="54"/>
      <c r="B30" s="79"/>
      <c r="C30" s="42" t="s">
        <v>142</v>
      </c>
      <c r="D30" s="42"/>
      <c r="E30" s="42" t="s">
        <v>41</v>
      </c>
      <c r="F30" s="42"/>
      <c r="G30" s="69">
        <v>3</v>
      </c>
      <c r="H30" s="69">
        <v>5</v>
      </c>
      <c r="I30" s="66">
        <v>5</v>
      </c>
      <c r="J30" s="66">
        <v>5</v>
      </c>
      <c r="K30" s="72">
        <v>0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16">
        <v>0</v>
      </c>
      <c r="W30" s="16">
        <v>0</v>
      </c>
    </row>
    <row r="31" spans="1:23" x14ac:dyDescent="0.3">
      <c r="A31" s="54"/>
      <c r="B31" s="80"/>
      <c r="C31" s="55"/>
      <c r="D31" s="56"/>
      <c r="E31" s="55"/>
      <c r="F31" s="74"/>
      <c r="G31" s="69"/>
      <c r="H31" s="69"/>
      <c r="I31" s="66"/>
      <c r="J31" s="66"/>
      <c r="K31" s="75">
        <v>2</v>
      </c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16"/>
      <c r="W31" s="16"/>
    </row>
    <row r="32" spans="1:23" x14ac:dyDescent="0.3">
      <c r="A32" s="54"/>
      <c r="B32" s="78" t="s">
        <v>14</v>
      </c>
      <c r="C32" s="42" t="s">
        <v>138</v>
      </c>
      <c r="D32" s="42"/>
      <c r="E32" s="42" t="s">
        <v>39</v>
      </c>
      <c r="F32" s="42"/>
      <c r="G32" s="69">
        <v>2</v>
      </c>
      <c r="H32" s="69">
        <v>3</v>
      </c>
      <c r="I32" s="69">
        <v>3</v>
      </c>
      <c r="J32" s="69">
        <v>3</v>
      </c>
      <c r="K32" s="77">
        <v>3</v>
      </c>
      <c r="L32" s="17">
        <v>0</v>
      </c>
      <c r="M32" s="16">
        <v>0</v>
      </c>
      <c r="N32" s="16">
        <v>0</v>
      </c>
      <c r="O32" s="66">
        <v>0</v>
      </c>
      <c r="P32" s="66">
        <v>0</v>
      </c>
      <c r="Q32" s="66">
        <v>0</v>
      </c>
      <c r="R32" s="66">
        <v>0</v>
      </c>
      <c r="S32" s="66">
        <v>0</v>
      </c>
      <c r="T32" s="66">
        <v>0</v>
      </c>
      <c r="U32" s="66">
        <v>0</v>
      </c>
      <c r="V32" s="16">
        <v>0</v>
      </c>
      <c r="W32" s="16">
        <v>0</v>
      </c>
    </row>
    <row r="33" spans="1:23" x14ac:dyDescent="0.3">
      <c r="A33" s="54"/>
      <c r="B33" s="79"/>
      <c r="C33" s="16"/>
      <c r="D33" s="16"/>
      <c r="E33" s="16"/>
      <c r="F33" s="16"/>
      <c r="G33" s="69"/>
      <c r="H33" s="69"/>
      <c r="I33" s="69"/>
      <c r="J33" s="69"/>
      <c r="K33" s="77"/>
      <c r="L33" s="18">
        <v>1</v>
      </c>
      <c r="M33" s="16"/>
      <c r="N33" s="16"/>
      <c r="O33" s="66"/>
      <c r="P33" s="66"/>
      <c r="Q33" s="66"/>
      <c r="R33" s="66"/>
      <c r="S33" s="66"/>
      <c r="T33" s="66"/>
      <c r="U33" s="66"/>
      <c r="V33" s="16"/>
      <c r="W33" s="16"/>
    </row>
    <row r="34" spans="1:23" x14ac:dyDescent="0.3">
      <c r="A34" s="54"/>
      <c r="B34" s="79"/>
      <c r="C34" s="42" t="s">
        <v>139</v>
      </c>
      <c r="D34" s="42"/>
      <c r="E34" s="42" t="s">
        <v>39</v>
      </c>
      <c r="F34" s="42"/>
      <c r="G34" s="69">
        <v>2</v>
      </c>
      <c r="H34" s="69">
        <v>3</v>
      </c>
      <c r="I34" s="69">
        <v>3</v>
      </c>
      <c r="J34" s="69">
        <v>3</v>
      </c>
      <c r="K34" s="77">
        <v>3</v>
      </c>
      <c r="L34" s="17">
        <v>0</v>
      </c>
      <c r="M34" s="16">
        <v>0</v>
      </c>
      <c r="N34" s="1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16">
        <v>0</v>
      </c>
      <c r="W34" s="16">
        <v>0</v>
      </c>
    </row>
    <row r="35" spans="1:23" x14ac:dyDescent="0.3">
      <c r="A35" s="54"/>
      <c r="B35" s="79"/>
      <c r="C35" s="16"/>
      <c r="D35" s="16"/>
      <c r="E35" s="16"/>
      <c r="F35" s="16"/>
      <c r="G35" s="69"/>
      <c r="H35" s="69"/>
      <c r="I35" s="69"/>
      <c r="J35" s="69"/>
      <c r="K35" s="77"/>
      <c r="L35" s="18">
        <v>1</v>
      </c>
      <c r="M35" s="16"/>
      <c r="N35" s="16"/>
      <c r="O35" s="66"/>
      <c r="P35" s="66"/>
      <c r="Q35" s="66"/>
      <c r="R35" s="66"/>
      <c r="S35" s="66"/>
      <c r="T35" s="66"/>
      <c r="U35" s="66"/>
      <c r="V35" s="16"/>
      <c r="W35" s="16"/>
    </row>
    <row r="36" spans="1:23" x14ac:dyDescent="0.3">
      <c r="A36" s="54"/>
      <c r="B36" s="79"/>
      <c r="C36" s="42" t="s">
        <v>140</v>
      </c>
      <c r="D36" s="42"/>
      <c r="E36" s="42" t="s">
        <v>39</v>
      </c>
      <c r="F36" s="42"/>
      <c r="G36" s="69">
        <v>1</v>
      </c>
      <c r="H36" s="69">
        <v>3</v>
      </c>
      <c r="I36" s="69">
        <v>3</v>
      </c>
      <c r="J36" s="69">
        <v>3</v>
      </c>
      <c r="K36" s="77">
        <v>3</v>
      </c>
      <c r="L36" s="17">
        <v>0</v>
      </c>
      <c r="M36" s="16">
        <v>0</v>
      </c>
      <c r="N36" s="16">
        <v>0</v>
      </c>
      <c r="O36" s="66">
        <v>0</v>
      </c>
      <c r="P36" s="66">
        <v>0</v>
      </c>
      <c r="Q36" s="66">
        <v>0</v>
      </c>
      <c r="R36" s="66">
        <v>0</v>
      </c>
      <c r="S36" s="66">
        <v>0</v>
      </c>
      <c r="T36" s="66">
        <v>0</v>
      </c>
      <c r="U36" s="66">
        <v>0</v>
      </c>
      <c r="V36" s="16">
        <v>0</v>
      </c>
      <c r="W36" s="16">
        <v>0</v>
      </c>
    </row>
    <row r="37" spans="1:23" x14ac:dyDescent="0.3">
      <c r="A37" s="54"/>
      <c r="B37" s="79"/>
      <c r="C37" s="16"/>
      <c r="D37" s="16"/>
      <c r="E37" s="16"/>
      <c r="F37" s="16"/>
      <c r="G37" s="69"/>
      <c r="H37" s="69"/>
      <c r="I37" s="69"/>
      <c r="J37" s="69"/>
      <c r="K37" s="77"/>
      <c r="L37" s="18">
        <v>2</v>
      </c>
      <c r="M37" s="16"/>
      <c r="N37" s="16"/>
      <c r="O37" s="66"/>
      <c r="P37" s="66"/>
      <c r="Q37" s="66"/>
      <c r="R37" s="66"/>
      <c r="S37" s="66"/>
      <c r="T37" s="66"/>
      <c r="U37" s="66"/>
      <c r="V37" s="16"/>
      <c r="W37" s="16"/>
    </row>
    <row r="38" spans="1:23" x14ac:dyDescent="0.3">
      <c r="A38" s="54"/>
      <c r="B38" s="79"/>
      <c r="C38" s="42" t="s">
        <v>141</v>
      </c>
      <c r="D38" s="42"/>
      <c r="E38" s="42" t="s">
        <v>53</v>
      </c>
      <c r="F38" s="42"/>
      <c r="G38" s="69">
        <v>3</v>
      </c>
      <c r="H38" s="69">
        <v>3</v>
      </c>
      <c r="I38" s="69">
        <v>3</v>
      </c>
      <c r="J38" s="69">
        <v>3</v>
      </c>
      <c r="K38" s="77">
        <v>3</v>
      </c>
      <c r="L38" s="17">
        <v>0</v>
      </c>
      <c r="M38" s="16">
        <v>0</v>
      </c>
      <c r="N38" s="1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16">
        <v>0</v>
      </c>
      <c r="W38" s="16">
        <v>0</v>
      </c>
    </row>
    <row r="39" spans="1:23" x14ac:dyDescent="0.3">
      <c r="A39" s="54"/>
      <c r="B39" s="79"/>
      <c r="C39" s="42" t="s">
        <v>142</v>
      </c>
      <c r="D39" s="42"/>
      <c r="E39" s="42" t="s">
        <v>37</v>
      </c>
      <c r="F39" s="42"/>
      <c r="G39" s="69">
        <v>2</v>
      </c>
      <c r="H39" s="69">
        <v>4</v>
      </c>
      <c r="I39" s="69">
        <v>4</v>
      </c>
      <c r="J39" s="69">
        <v>4</v>
      </c>
      <c r="K39" s="77">
        <v>4</v>
      </c>
      <c r="L39" s="17">
        <v>0</v>
      </c>
      <c r="M39" s="16">
        <v>0</v>
      </c>
      <c r="N39" s="1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16">
        <v>0</v>
      </c>
      <c r="W39" s="16">
        <v>0</v>
      </c>
    </row>
    <row r="40" spans="1:23" x14ac:dyDescent="0.3">
      <c r="A40" s="54"/>
      <c r="B40" s="80"/>
      <c r="C40" s="16"/>
      <c r="D40" s="16"/>
      <c r="E40" s="16"/>
      <c r="F40" s="16"/>
      <c r="G40" s="69"/>
      <c r="H40" s="69"/>
      <c r="I40" s="76"/>
      <c r="J40" s="76"/>
      <c r="K40" s="76"/>
      <c r="L40" s="18">
        <v>2</v>
      </c>
      <c r="M40" s="16"/>
      <c r="N40" s="16"/>
      <c r="O40" s="66"/>
      <c r="P40" s="66"/>
      <c r="Q40" s="66"/>
      <c r="R40" s="66"/>
      <c r="S40" s="66"/>
      <c r="T40" s="66"/>
      <c r="U40" s="66"/>
      <c r="V40" s="16"/>
      <c r="W40" s="16"/>
    </row>
    <row r="41" spans="1:23" x14ac:dyDescent="0.3">
      <c r="A41" s="54"/>
      <c r="B41" s="50" t="s">
        <v>15</v>
      </c>
      <c r="C41" s="42" t="s">
        <v>143</v>
      </c>
      <c r="D41" s="42"/>
      <c r="E41" s="42" t="s">
        <v>56</v>
      </c>
      <c r="F41" s="42"/>
      <c r="G41" s="69">
        <v>2</v>
      </c>
      <c r="H41" s="69">
        <v>4</v>
      </c>
      <c r="I41" s="69">
        <v>4</v>
      </c>
      <c r="J41" s="69">
        <v>4</v>
      </c>
      <c r="K41" s="69">
        <v>4</v>
      </c>
      <c r="L41" s="17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16">
        <v>0</v>
      </c>
      <c r="W41" s="16">
        <v>0</v>
      </c>
    </row>
    <row r="42" spans="1:23" x14ac:dyDescent="0.3">
      <c r="A42" s="54"/>
      <c r="B42" s="50"/>
      <c r="C42" s="16"/>
      <c r="D42" s="16"/>
      <c r="E42" s="16"/>
      <c r="F42" s="16"/>
      <c r="G42" s="69"/>
      <c r="H42" s="69"/>
      <c r="I42" s="76"/>
      <c r="J42" s="76"/>
      <c r="K42" s="76"/>
      <c r="L42" s="18">
        <v>2</v>
      </c>
      <c r="M42" s="66"/>
      <c r="N42" s="66"/>
      <c r="O42" s="66"/>
      <c r="P42" s="66"/>
      <c r="Q42" s="66"/>
      <c r="R42" s="66"/>
      <c r="S42" s="66"/>
      <c r="T42" s="66"/>
      <c r="U42" s="66"/>
      <c r="V42" s="16"/>
      <c r="W42" s="16"/>
    </row>
    <row r="43" spans="1:23" x14ac:dyDescent="0.3">
      <c r="A43" s="54"/>
      <c r="B43" s="50"/>
      <c r="C43" s="42" t="s">
        <v>144</v>
      </c>
      <c r="D43" s="42"/>
      <c r="E43" s="42" t="s">
        <v>56</v>
      </c>
      <c r="F43" s="42"/>
      <c r="G43" s="69">
        <v>3</v>
      </c>
      <c r="H43" s="69">
        <v>4</v>
      </c>
      <c r="I43" s="69">
        <v>4</v>
      </c>
      <c r="J43" s="69">
        <v>4</v>
      </c>
      <c r="K43" s="69">
        <v>4</v>
      </c>
      <c r="L43" s="69">
        <v>4</v>
      </c>
      <c r="M43" s="72">
        <v>0</v>
      </c>
      <c r="N43" s="66">
        <v>0</v>
      </c>
      <c r="O43" s="66">
        <v>0</v>
      </c>
      <c r="P43" s="66">
        <v>0</v>
      </c>
      <c r="Q43" s="66">
        <v>0</v>
      </c>
      <c r="R43" s="66">
        <v>0</v>
      </c>
      <c r="S43" s="66">
        <v>0</v>
      </c>
      <c r="T43" s="66">
        <v>0</v>
      </c>
      <c r="U43" s="66">
        <v>0</v>
      </c>
      <c r="V43" s="16">
        <v>0</v>
      </c>
      <c r="W43" s="16">
        <v>0</v>
      </c>
    </row>
    <row r="44" spans="1:23" x14ac:dyDescent="0.3">
      <c r="A44" s="54"/>
      <c r="B44" s="50"/>
      <c r="C44" s="16"/>
      <c r="D44" s="16"/>
      <c r="E44" s="16"/>
      <c r="F44" s="16"/>
      <c r="G44" s="69"/>
      <c r="H44" s="69"/>
      <c r="I44" s="69"/>
      <c r="J44" s="69"/>
      <c r="K44" s="69"/>
      <c r="L44" s="69"/>
      <c r="M44" s="75">
        <v>1</v>
      </c>
      <c r="N44" s="66"/>
      <c r="O44" s="66"/>
      <c r="P44" s="66"/>
      <c r="Q44" s="66"/>
      <c r="R44" s="66"/>
      <c r="S44" s="66"/>
      <c r="T44" s="66"/>
      <c r="U44" s="66"/>
      <c r="V44" s="16"/>
      <c r="W44" s="16"/>
    </row>
    <row r="45" spans="1:23" x14ac:dyDescent="0.3">
      <c r="A45" s="54"/>
      <c r="B45" s="50"/>
      <c r="C45" s="42" t="s">
        <v>145</v>
      </c>
      <c r="D45" s="42"/>
      <c r="E45" s="42" t="s">
        <v>59</v>
      </c>
      <c r="F45" s="42"/>
      <c r="G45" s="69">
        <v>2</v>
      </c>
      <c r="H45" s="69">
        <v>4</v>
      </c>
      <c r="I45" s="69">
        <v>4</v>
      </c>
      <c r="J45" s="69">
        <v>4</v>
      </c>
      <c r="K45" s="69">
        <v>4</v>
      </c>
      <c r="L45" s="69">
        <v>4</v>
      </c>
      <c r="M45" s="72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0</v>
      </c>
      <c r="T45" s="66">
        <v>0</v>
      </c>
      <c r="U45" s="66">
        <v>0</v>
      </c>
      <c r="V45" s="16">
        <v>0</v>
      </c>
      <c r="W45" s="16">
        <v>0</v>
      </c>
    </row>
    <row r="46" spans="1:23" x14ac:dyDescent="0.3">
      <c r="A46" s="54"/>
      <c r="B46" s="50"/>
      <c r="C46" s="16"/>
      <c r="D46" s="16"/>
      <c r="E46" s="16"/>
      <c r="F46" s="16"/>
      <c r="G46" s="69"/>
      <c r="H46" s="69"/>
      <c r="I46" s="69"/>
      <c r="J46" s="69"/>
      <c r="K46" s="69"/>
      <c r="L46" s="69"/>
      <c r="M46" s="75">
        <v>2</v>
      </c>
      <c r="N46" s="66"/>
      <c r="O46" s="66"/>
      <c r="P46" s="66"/>
      <c r="Q46" s="66"/>
      <c r="R46" s="66"/>
      <c r="S46" s="66"/>
      <c r="T46" s="66"/>
      <c r="U46" s="66"/>
      <c r="V46" s="16"/>
      <c r="W46" s="16"/>
    </row>
    <row r="47" spans="1:23" x14ac:dyDescent="0.3">
      <c r="A47" s="54"/>
      <c r="B47" s="50"/>
      <c r="C47" s="42" t="s">
        <v>146</v>
      </c>
      <c r="D47" s="42"/>
      <c r="E47" s="42" t="s">
        <v>56</v>
      </c>
      <c r="F47" s="42"/>
      <c r="G47" s="69">
        <v>1</v>
      </c>
      <c r="H47" s="69">
        <v>4</v>
      </c>
      <c r="I47" s="69">
        <v>4</v>
      </c>
      <c r="J47" s="69">
        <v>4</v>
      </c>
      <c r="K47" s="69">
        <v>4</v>
      </c>
      <c r="L47" s="69">
        <v>4</v>
      </c>
      <c r="M47" s="72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0</v>
      </c>
      <c r="V47" s="16">
        <v>0</v>
      </c>
      <c r="W47" s="16">
        <v>0</v>
      </c>
    </row>
    <row r="48" spans="1:23" x14ac:dyDescent="0.3">
      <c r="A48" s="54"/>
      <c r="B48" s="50"/>
      <c r="C48" s="16"/>
      <c r="D48" s="16"/>
      <c r="E48" s="16"/>
      <c r="F48" s="16"/>
      <c r="G48" s="69"/>
      <c r="H48" s="69"/>
      <c r="I48" s="69"/>
      <c r="J48" s="69"/>
      <c r="K48" s="69"/>
      <c r="L48" s="69"/>
      <c r="M48" s="75">
        <v>3</v>
      </c>
      <c r="N48" s="66"/>
      <c r="O48" s="66"/>
      <c r="P48" s="66"/>
      <c r="Q48" s="66"/>
      <c r="R48" s="66"/>
      <c r="S48" s="66"/>
      <c r="T48" s="66"/>
      <c r="U48" s="66"/>
      <c r="V48" s="16"/>
      <c r="W48" s="16"/>
    </row>
    <row r="49" spans="1:23" x14ac:dyDescent="0.3">
      <c r="A49" s="54"/>
      <c r="B49" s="50"/>
      <c r="C49" s="42" t="s">
        <v>147</v>
      </c>
      <c r="D49" s="42"/>
      <c r="E49" s="42" t="s">
        <v>56</v>
      </c>
      <c r="F49" s="42"/>
      <c r="G49" s="69">
        <v>2</v>
      </c>
      <c r="H49" s="69">
        <v>4</v>
      </c>
      <c r="I49" s="69">
        <v>4</v>
      </c>
      <c r="J49" s="69">
        <v>4</v>
      </c>
      <c r="K49" s="69">
        <v>4</v>
      </c>
      <c r="L49" s="69">
        <v>4</v>
      </c>
      <c r="M49" s="72">
        <v>0</v>
      </c>
      <c r="N49" s="66">
        <v>0</v>
      </c>
      <c r="O49" s="66">
        <v>0</v>
      </c>
      <c r="P49" s="66">
        <v>0</v>
      </c>
      <c r="Q49" s="66">
        <v>0</v>
      </c>
      <c r="R49" s="66">
        <v>0</v>
      </c>
      <c r="S49" s="66">
        <v>0</v>
      </c>
      <c r="T49" s="66">
        <v>0</v>
      </c>
      <c r="U49" s="66">
        <v>0</v>
      </c>
      <c r="V49" s="16">
        <v>0</v>
      </c>
      <c r="W49" s="16">
        <v>0</v>
      </c>
    </row>
    <row r="50" spans="1:23" x14ac:dyDescent="0.3">
      <c r="A50" s="54"/>
      <c r="B50" s="50"/>
      <c r="C50" s="16"/>
      <c r="D50" s="16"/>
      <c r="E50" s="16"/>
      <c r="F50" s="16"/>
      <c r="G50" s="69"/>
      <c r="H50" s="69"/>
      <c r="I50" s="69"/>
      <c r="J50" s="69"/>
      <c r="K50" s="69"/>
      <c r="L50" s="69"/>
      <c r="M50" s="75">
        <v>2</v>
      </c>
      <c r="N50" s="66"/>
      <c r="O50" s="66"/>
      <c r="P50" s="66"/>
      <c r="Q50" s="66"/>
      <c r="R50" s="66"/>
      <c r="S50" s="66"/>
      <c r="T50" s="66"/>
      <c r="U50" s="66"/>
      <c r="V50" s="16"/>
      <c r="W50" s="16"/>
    </row>
    <row r="51" spans="1:23" x14ac:dyDescent="0.3">
      <c r="A51" s="54"/>
      <c r="B51" s="50"/>
      <c r="C51" s="42" t="s">
        <v>148</v>
      </c>
      <c r="D51" s="42"/>
      <c r="E51" s="42" t="s">
        <v>59</v>
      </c>
      <c r="F51" s="42"/>
      <c r="G51" s="69">
        <v>2</v>
      </c>
      <c r="H51" s="69">
        <v>4</v>
      </c>
      <c r="I51" s="69">
        <v>4</v>
      </c>
      <c r="J51" s="69">
        <v>4</v>
      </c>
      <c r="K51" s="69">
        <v>4</v>
      </c>
      <c r="L51" s="69">
        <v>4</v>
      </c>
      <c r="M51" s="72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16">
        <v>0</v>
      </c>
      <c r="W51" s="16">
        <v>0</v>
      </c>
    </row>
    <row r="52" spans="1:23" x14ac:dyDescent="0.3">
      <c r="A52" s="54"/>
      <c r="B52" s="50"/>
      <c r="C52" s="16"/>
      <c r="D52" s="16"/>
      <c r="E52" s="16"/>
      <c r="F52" s="16"/>
      <c r="G52" s="69"/>
      <c r="H52" s="69"/>
      <c r="I52" s="76"/>
      <c r="J52" s="76"/>
      <c r="K52" s="76"/>
      <c r="L52" s="76"/>
      <c r="M52" s="75">
        <v>2</v>
      </c>
      <c r="N52" s="66"/>
      <c r="O52" s="66"/>
      <c r="P52" s="66"/>
      <c r="Q52" s="66"/>
      <c r="R52" s="66"/>
      <c r="S52" s="66"/>
      <c r="T52" s="66"/>
      <c r="U52" s="66"/>
      <c r="V52" s="16"/>
      <c r="W52" s="16"/>
    </row>
    <row r="53" spans="1:23" x14ac:dyDescent="0.3">
      <c r="A53" s="54"/>
      <c r="B53" s="50"/>
      <c r="C53" s="42" t="s">
        <v>149</v>
      </c>
      <c r="D53" s="42"/>
      <c r="E53" s="42" t="s">
        <v>56</v>
      </c>
      <c r="F53" s="42"/>
      <c r="G53" s="69">
        <v>2</v>
      </c>
      <c r="H53" s="69">
        <v>4</v>
      </c>
      <c r="I53" s="69">
        <v>4</v>
      </c>
      <c r="J53" s="69">
        <v>4</v>
      </c>
      <c r="K53" s="69">
        <v>4</v>
      </c>
      <c r="L53" s="69">
        <v>4</v>
      </c>
      <c r="M53" s="69">
        <v>4</v>
      </c>
      <c r="N53" s="72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16">
        <v>0</v>
      </c>
      <c r="W53" s="16">
        <v>0</v>
      </c>
    </row>
    <row r="54" spans="1:23" x14ac:dyDescent="0.3">
      <c r="A54" s="54"/>
      <c r="B54" s="50"/>
      <c r="C54" s="16"/>
      <c r="D54" s="16"/>
      <c r="E54" s="16"/>
      <c r="F54" s="16"/>
      <c r="G54" s="69"/>
      <c r="H54" s="69"/>
      <c r="I54" s="69"/>
      <c r="J54" s="69"/>
      <c r="K54" s="69"/>
      <c r="L54" s="69"/>
      <c r="M54" s="69"/>
      <c r="N54" s="75">
        <v>2</v>
      </c>
      <c r="O54" s="66"/>
      <c r="P54" s="66"/>
      <c r="Q54" s="66"/>
      <c r="R54" s="66"/>
      <c r="S54" s="66"/>
      <c r="T54" s="66"/>
      <c r="U54" s="66"/>
      <c r="V54" s="16"/>
      <c r="W54" s="16"/>
    </row>
    <row r="55" spans="1:23" x14ac:dyDescent="0.3">
      <c r="A55" s="54"/>
      <c r="B55" s="50"/>
      <c r="C55" s="42" t="s">
        <v>150</v>
      </c>
      <c r="D55" s="42"/>
      <c r="E55" s="42" t="s">
        <v>56</v>
      </c>
      <c r="F55" s="42"/>
      <c r="G55" s="69">
        <v>2</v>
      </c>
      <c r="H55" s="69">
        <v>4</v>
      </c>
      <c r="I55" s="69">
        <v>4</v>
      </c>
      <c r="J55" s="69">
        <v>4</v>
      </c>
      <c r="K55" s="69">
        <v>4</v>
      </c>
      <c r="L55" s="69">
        <v>4</v>
      </c>
      <c r="M55" s="69">
        <v>4</v>
      </c>
      <c r="N55" s="72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16">
        <v>0</v>
      </c>
      <c r="W55" s="16">
        <v>0</v>
      </c>
    </row>
    <row r="56" spans="1:23" x14ac:dyDescent="0.3">
      <c r="A56" s="54"/>
      <c r="B56" s="50"/>
      <c r="C56" s="16"/>
      <c r="D56" s="16"/>
      <c r="E56" s="16"/>
      <c r="F56" s="16"/>
      <c r="G56" s="69"/>
      <c r="H56" s="69"/>
      <c r="I56" s="69"/>
      <c r="J56" s="69"/>
      <c r="K56" s="69"/>
      <c r="L56" s="69"/>
      <c r="M56" s="69"/>
      <c r="N56" s="75">
        <v>2</v>
      </c>
      <c r="O56" s="66"/>
      <c r="P56" s="66"/>
      <c r="Q56" s="66"/>
      <c r="R56" s="66"/>
      <c r="S56" s="66"/>
      <c r="T56" s="66"/>
      <c r="U56" s="66"/>
      <c r="V56" s="16"/>
      <c r="W56" s="16"/>
    </row>
    <row r="57" spans="1:23" x14ac:dyDescent="0.3">
      <c r="A57" s="54"/>
      <c r="B57" s="50"/>
      <c r="C57" s="42" t="s">
        <v>151</v>
      </c>
      <c r="D57" s="42"/>
      <c r="E57" s="42" t="s">
        <v>59</v>
      </c>
      <c r="F57" s="42"/>
      <c r="G57" s="69">
        <v>2</v>
      </c>
      <c r="H57" s="69">
        <v>4</v>
      </c>
      <c r="I57" s="69">
        <v>4</v>
      </c>
      <c r="J57" s="69">
        <v>4</v>
      </c>
      <c r="K57" s="69">
        <v>4</v>
      </c>
      <c r="L57" s="69">
        <v>4</v>
      </c>
      <c r="M57" s="69">
        <v>4</v>
      </c>
      <c r="N57" s="72">
        <v>0</v>
      </c>
      <c r="O57" s="66">
        <v>0</v>
      </c>
      <c r="P57" s="66">
        <v>0</v>
      </c>
      <c r="Q57" s="66">
        <v>0</v>
      </c>
      <c r="R57" s="66">
        <v>0</v>
      </c>
      <c r="S57" s="66">
        <v>0</v>
      </c>
      <c r="T57" s="66">
        <v>0</v>
      </c>
      <c r="U57" s="66">
        <v>0</v>
      </c>
      <c r="V57" s="16">
        <v>0</v>
      </c>
      <c r="W57" s="16">
        <v>0</v>
      </c>
    </row>
    <row r="58" spans="1:23" x14ac:dyDescent="0.3">
      <c r="A58" s="54"/>
      <c r="B58" s="50"/>
      <c r="C58" s="16"/>
      <c r="D58" s="16"/>
      <c r="E58" s="16"/>
      <c r="F58" s="16"/>
      <c r="G58" s="69"/>
      <c r="H58" s="69"/>
      <c r="I58" s="69"/>
      <c r="J58" s="69"/>
      <c r="K58" s="69"/>
      <c r="L58" s="69"/>
      <c r="M58" s="69"/>
      <c r="N58" s="75">
        <v>2</v>
      </c>
      <c r="O58" s="66"/>
      <c r="P58" s="66"/>
      <c r="Q58" s="66"/>
      <c r="R58" s="66"/>
      <c r="S58" s="66"/>
      <c r="T58" s="66"/>
      <c r="U58" s="66"/>
      <c r="V58" s="16"/>
      <c r="W58" s="16"/>
    </row>
    <row r="59" spans="1:23" x14ac:dyDescent="0.3">
      <c r="A59" s="54"/>
      <c r="B59" s="50"/>
      <c r="C59" s="42" t="s">
        <v>152</v>
      </c>
      <c r="D59" s="42"/>
      <c r="E59" s="42" t="s">
        <v>56</v>
      </c>
      <c r="F59" s="42"/>
      <c r="G59" s="69">
        <v>2</v>
      </c>
      <c r="H59" s="69">
        <v>4</v>
      </c>
      <c r="I59" s="69">
        <v>4</v>
      </c>
      <c r="J59" s="69">
        <v>4</v>
      </c>
      <c r="K59" s="69">
        <v>4</v>
      </c>
      <c r="L59" s="69">
        <v>4</v>
      </c>
      <c r="M59" s="69">
        <v>4</v>
      </c>
      <c r="N59" s="72">
        <v>0</v>
      </c>
      <c r="O59" s="66">
        <v>0</v>
      </c>
      <c r="P59" s="66">
        <v>0</v>
      </c>
      <c r="Q59" s="66">
        <v>0</v>
      </c>
      <c r="R59" s="66">
        <v>0</v>
      </c>
      <c r="S59" s="66">
        <v>0</v>
      </c>
      <c r="T59" s="66">
        <v>0</v>
      </c>
      <c r="U59" s="66">
        <v>0</v>
      </c>
      <c r="V59" s="16">
        <v>0</v>
      </c>
      <c r="W59" s="16">
        <v>0</v>
      </c>
    </row>
    <row r="60" spans="1:23" x14ac:dyDescent="0.3">
      <c r="A60" s="54"/>
      <c r="B60" s="50"/>
      <c r="C60" s="16"/>
      <c r="D60" s="16"/>
      <c r="E60" s="16"/>
      <c r="F60" s="16"/>
      <c r="G60" s="69"/>
      <c r="H60" s="69"/>
      <c r="I60" s="69"/>
      <c r="J60" s="69"/>
      <c r="K60" s="69"/>
      <c r="L60" s="69"/>
      <c r="M60" s="69"/>
      <c r="N60" s="75">
        <v>2</v>
      </c>
      <c r="O60" s="66"/>
      <c r="P60" s="66"/>
      <c r="Q60" s="66"/>
      <c r="R60" s="66"/>
      <c r="S60" s="66"/>
      <c r="T60" s="66"/>
      <c r="U60" s="66"/>
      <c r="V60" s="16"/>
      <c r="W60" s="16"/>
    </row>
    <row r="61" spans="1:23" x14ac:dyDescent="0.3">
      <c r="A61" s="54"/>
      <c r="B61" s="50"/>
      <c r="C61" s="42" t="s">
        <v>153</v>
      </c>
      <c r="D61" s="42"/>
      <c r="E61" s="42" t="s">
        <v>56</v>
      </c>
      <c r="F61" s="42"/>
      <c r="G61" s="69">
        <v>3</v>
      </c>
      <c r="H61" s="69">
        <v>4</v>
      </c>
      <c r="I61" s="69">
        <v>4</v>
      </c>
      <c r="J61" s="69">
        <v>4</v>
      </c>
      <c r="K61" s="69">
        <v>4</v>
      </c>
      <c r="L61" s="69">
        <v>4</v>
      </c>
      <c r="M61" s="69">
        <v>4</v>
      </c>
      <c r="N61" s="72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16">
        <v>0</v>
      </c>
      <c r="W61" s="16">
        <v>0</v>
      </c>
    </row>
    <row r="62" spans="1:23" x14ac:dyDescent="0.3">
      <c r="A62" s="54"/>
      <c r="B62" s="50"/>
      <c r="C62" s="16"/>
      <c r="D62" s="16"/>
      <c r="E62" s="16"/>
      <c r="F62" s="16"/>
      <c r="G62" s="69"/>
      <c r="H62" s="69"/>
      <c r="I62" s="69"/>
      <c r="J62" s="69"/>
      <c r="K62" s="69"/>
      <c r="L62" s="69"/>
      <c r="M62" s="69"/>
      <c r="N62" s="75">
        <v>1</v>
      </c>
      <c r="O62" s="66"/>
      <c r="P62" s="66"/>
      <c r="Q62" s="66"/>
      <c r="R62" s="66"/>
      <c r="S62" s="66"/>
      <c r="T62" s="66"/>
      <c r="U62" s="66"/>
      <c r="V62" s="16"/>
      <c r="W62" s="16"/>
    </row>
    <row r="63" spans="1:23" x14ac:dyDescent="0.3">
      <c r="A63" s="54"/>
      <c r="B63" s="50"/>
      <c r="C63" s="42" t="s">
        <v>154</v>
      </c>
      <c r="D63" s="42"/>
      <c r="E63" s="42" t="s">
        <v>59</v>
      </c>
      <c r="F63" s="42"/>
      <c r="G63" s="69">
        <v>3</v>
      </c>
      <c r="H63" s="69">
        <v>4</v>
      </c>
      <c r="I63" s="69">
        <v>4</v>
      </c>
      <c r="J63" s="69">
        <v>4</v>
      </c>
      <c r="K63" s="69">
        <v>4</v>
      </c>
      <c r="L63" s="69">
        <v>4</v>
      </c>
      <c r="M63" s="69">
        <v>4</v>
      </c>
      <c r="N63" s="72">
        <v>0</v>
      </c>
      <c r="O63" s="66">
        <v>0</v>
      </c>
      <c r="P63" s="66">
        <v>0</v>
      </c>
      <c r="Q63" s="66">
        <v>0</v>
      </c>
      <c r="R63" s="66">
        <v>0</v>
      </c>
      <c r="S63" s="66">
        <v>0</v>
      </c>
      <c r="T63" s="66">
        <v>0</v>
      </c>
      <c r="U63" s="66">
        <v>0</v>
      </c>
      <c r="V63" s="16">
        <v>0</v>
      </c>
      <c r="W63" s="16">
        <v>0</v>
      </c>
    </row>
    <row r="64" spans="1:23" x14ac:dyDescent="0.3">
      <c r="A64" s="54"/>
      <c r="B64" s="50"/>
      <c r="C64" s="16"/>
      <c r="D64" s="16"/>
      <c r="E64" s="16"/>
      <c r="F64" s="16"/>
      <c r="G64" s="69"/>
      <c r="H64" s="69"/>
      <c r="I64" s="76"/>
      <c r="J64" s="76"/>
      <c r="K64" s="76"/>
      <c r="L64" s="76"/>
      <c r="M64" s="76"/>
      <c r="N64" s="75">
        <v>1</v>
      </c>
      <c r="O64" s="66"/>
      <c r="P64" s="66"/>
      <c r="Q64" s="66"/>
      <c r="R64" s="66"/>
      <c r="S64" s="66"/>
      <c r="T64" s="66"/>
      <c r="U64" s="66"/>
      <c r="V64" s="16"/>
      <c r="W64" s="16"/>
    </row>
    <row r="65" spans="1:24" x14ac:dyDescent="0.3">
      <c r="A65" s="54"/>
      <c r="B65" s="50"/>
      <c r="C65" s="42" t="s">
        <v>155</v>
      </c>
      <c r="D65" s="42"/>
      <c r="E65" s="42" t="s">
        <v>56</v>
      </c>
      <c r="F65" s="42"/>
      <c r="G65" s="69">
        <v>2</v>
      </c>
      <c r="H65" s="69">
        <v>4</v>
      </c>
      <c r="I65" s="69">
        <v>4</v>
      </c>
      <c r="J65" s="69">
        <v>4</v>
      </c>
      <c r="K65" s="69">
        <v>4</v>
      </c>
      <c r="L65" s="69">
        <v>4</v>
      </c>
      <c r="M65" s="69">
        <v>4</v>
      </c>
      <c r="N65" s="69">
        <v>4</v>
      </c>
      <c r="O65" s="72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16">
        <v>0</v>
      </c>
      <c r="W65" s="16">
        <v>0</v>
      </c>
    </row>
    <row r="66" spans="1:24" x14ac:dyDescent="0.3">
      <c r="A66" s="54"/>
      <c r="B66" s="50"/>
      <c r="C66" s="16"/>
      <c r="D66" s="16"/>
      <c r="E66" s="16"/>
      <c r="F66" s="16"/>
      <c r="G66" s="69"/>
      <c r="H66" s="69"/>
      <c r="I66" s="69"/>
      <c r="J66" s="69"/>
      <c r="K66" s="69"/>
      <c r="L66" s="69"/>
      <c r="M66" s="69"/>
      <c r="N66" s="69"/>
      <c r="O66" s="75">
        <v>2</v>
      </c>
      <c r="P66" s="66"/>
      <c r="Q66" s="66"/>
      <c r="R66" s="66"/>
      <c r="S66" s="66"/>
      <c r="T66" s="66"/>
      <c r="U66" s="66"/>
      <c r="V66" s="16"/>
      <c r="W66" s="16"/>
    </row>
    <row r="67" spans="1:24" x14ac:dyDescent="0.3">
      <c r="A67" s="54"/>
      <c r="B67" s="50"/>
      <c r="C67" s="42" t="s">
        <v>156</v>
      </c>
      <c r="D67" s="42"/>
      <c r="E67" s="42" t="s">
        <v>56</v>
      </c>
      <c r="F67" s="42"/>
      <c r="G67" s="69">
        <v>3</v>
      </c>
      <c r="H67" s="69">
        <v>4</v>
      </c>
      <c r="I67" s="69">
        <v>4</v>
      </c>
      <c r="J67" s="69">
        <v>4</v>
      </c>
      <c r="K67" s="69">
        <v>4</v>
      </c>
      <c r="L67" s="69">
        <v>4</v>
      </c>
      <c r="M67" s="69">
        <v>4</v>
      </c>
      <c r="N67" s="69">
        <v>4</v>
      </c>
      <c r="O67" s="72">
        <v>0</v>
      </c>
      <c r="P67" s="66">
        <v>0</v>
      </c>
      <c r="Q67" s="66">
        <v>0</v>
      </c>
      <c r="R67" s="66">
        <v>0</v>
      </c>
      <c r="S67" s="66">
        <v>0</v>
      </c>
      <c r="T67" s="66">
        <v>0</v>
      </c>
      <c r="U67" s="66">
        <v>0</v>
      </c>
      <c r="V67" s="16">
        <v>0</v>
      </c>
      <c r="W67" s="16">
        <v>0</v>
      </c>
    </row>
    <row r="68" spans="1:24" x14ac:dyDescent="0.3">
      <c r="A68" s="54"/>
      <c r="B68" s="50"/>
      <c r="C68" s="16"/>
      <c r="D68" s="16"/>
      <c r="E68" s="16"/>
      <c r="F68" s="16"/>
      <c r="G68" s="69"/>
      <c r="H68" s="69"/>
      <c r="I68" s="69"/>
      <c r="J68" s="69"/>
      <c r="K68" s="69"/>
      <c r="L68" s="69"/>
      <c r="M68" s="69"/>
      <c r="N68" s="69"/>
      <c r="O68" s="75">
        <v>1</v>
      </c>
      <c r="P68" s="66"/>
      <c r="Q68" s="66"/>
      <c r="R68" s="66"/>
      <c r="S68" s="66"/>
      <c r="T68" s="66"/>
      <c r="U68" s="66"/>
      <c r="V68" s="16"/>
      <c r="W68" s="16"/>
    </row>
    <row r="69" spans="1:24" x14ac:dyDescent="0.3">
      <c r="A69" s="54"/>
      <c r="B69" s="50"/>
      <c r="C69" s="42" t="s">
        <v>157</v>
      </c>
      <c r="D69" s="42"/>
      <c r="E69" s="42" t="s">
        <v>59</v>
      </c>
      <c r="F69" s="42"/>
      <c r="G69" s="69">
        <v>2</v>
      </c>
      <c r="H69" s="69">
        <v>4</v>
      </c>
      <c r="I69" s="69">
        <v>4</v>
      </c>
      <c r="J69" s="69">
        <v>4</v>
      </c>
      <c r="K69" s="69">
        <v>4</v>
      </c>
      <c r="L69" s="69">
        <v>4</v>
      </c>
      <c r="M69" s="69">
        <v>4</v>
      </c>
      <c r="N69" s="69">
        <v>4</v>
      </c>
      <c r="O69" s="72">
        <v>0</v>
      </c>
      <c r="P69" s="66">
        <v>0</v>
      </c>
      <c r="Q69" s="66">
        <v>0</v>
      </c>
      <c r="R69" s="66">
        <v>0</v>
      </c>
      <c r="S69" s="66">
        <v>0</v>
      </c>
      <c r="T69" s="66">
        <v>0</v>
      </c>
      <c r="U69" s="66">
        <v>0</v>
      </c>
      <c r="V69" s="16">
        <v>0</v>
      </c>
      <c r="W69" s="16">
        <v>0</v>
      </c>
    </row>
    <row r="70" spans="1:24" x14ac:dyDescent="0.3">
      <c r="A70" s="54"/>
      <c r="B70" s="78" t="s">
        <v>16</v>
      </c>
      <c r="C70" s="16"/>
      <c r="D70" s="16"/>
      <c r="E70" s="16"/>
      <c r="F70" s="16"/>
      <c r="G70" s="69"/>
      <c r="H70" s="69"/>
      <c r="I70" s="69"/>
      <c r="J70" s="69"/>
      <c r="K70" s="69"/>
      <c r="L70" s="69"/>
      <c r="M70" s="69"/>
      <c r="N70" s="69"/>
      <c r="O70" s="75">
        <v>2</v>
      </c>
      <c r="P70" s="66"/>
      <c r="Q70" s="66"/>
      <c r="R70" s="66"/>
      <c r="S70" s="66"/>
      <c r="T70" s="66"/>
      <c r="U70" s="66"/>
      <c r="V70" s="16"/>
      <c r="W70" s="16"/>
    </row>
    <row r="71" spans="1:24" x14ac:dyDescent="0.3">
      <c r="A71" s="54"/>
      <c r="B71" s="79"/>
      <c r="C71" s="42" t="s">
        <v>158</v>
      </c>
      <c r="D71" s="42"/>
      <c r="E71" s="42" t="s">
        <v>39</v>
      </c>
      <c r="F71" s="42"/>
      <c r="G71" s="69">
        <v>2</v>
      </c>
      <c r="H71" s="69">
        <v>5</v>
      </c>
      <c r="I71" s="69">
        <v>5</v>
      </c>
      <c r="J71" s="69">
        <v>5</v>
      </c>
      <c r="K71" s="69">
        <v>5</v>
      </c>
      <c r="L71" s="69">
        <v>5</v>
      </c>
      <c r="M71" s="69">
        <v>5</v>
      </c>
      <c r="N71" s="69">
        <v>5</v>
      </c>
      <c r="O71" s="72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16">
        <v>0</v>
      </c>
      <c r="W71" s="16">
        <v>0</v>
      </c>
    </row>
    <row r="72" spans="1:24" x14ac:dyDescent="0.3">
      <c r="A72" s="54"/>
      <c r="B72" s="79"/>
      <c r="C72" s="16"/>
      <c r="D72" s="16"/>
      <c r="E72" s="16"/>
      <c r="F72" s="16"/>
      <c r="G72" s="69"/>
      <c r="H72" s="69"/>
      <c r="I72" s="69"/>
      <c r="J72" s="69"/>
      <c r="K72" s="69"/>
      <c r="L72" s="69"/>
      <c r="M72" s="69"/>
      <c r="N72" s="69"/>
      <c r="O72" s="75">
        <v>3</v>
      </c>
      <c r="P72" s="66"/>
      <c r="Q72" s="66"/>
      <c r="R72" s="66"/>
      <c r="S72" s="66"/>
      <c r="T72" s="66"/>
      <c r="U72" s="66"/>
      <c r="V72" s="16"/>
      <c r="W72" s="16"/>
    </row>
    <row r="73" spans="1:24" x14ac:dyDescent="0.3">
      <c r="A73" s="54"/>
      <c r="B73" s="79"/>
      <c r="C73" s="42" t="s">
        <v>159</v>
      </c>
      <c r="D73" s="42"/>
      <c r="E73" s="42" t="s">
        <v>39</v>
      </c>
      <c r="F73" s="42"/>
      <c r="G73" s="69">
        <v>2</v>
      </c>
      <c r="H73" s="69">
        <v>5</v>
      </c>
      <c r="I73" s="69">
        <v>5</v>
      </c>
      <c r="J73" s="69">
        <v>5</v>
      </c>
      <c r="K73" s="69">
        <v>5</v>
      </c>
      <c r="L73" s="69">
        <v>5</v>
      </c>
      <c r="M73" s="69">
        <v>5</v>
      </c>
      <c r="N73" s="69">
        <v>5</v>
      </c>
      <c r="O73" s="72">
        <v>0</v>
      </c>
      <c r="P73" s="66">
        <v>0</v>
      </c>
      <c r="Q73" s="66">
        <v>0</v>
      </c>
      <c r="R73" s="66">
        <v>0</v>
      </c>
      <c r="S73" s="66">
        <v>0</v>
      </c>
      <c r="T73" s="66">
        <v>0</v>
      </c>
      <c r="U73" s="66">
        <v>0</v>
      </c>
      <c r="V73" s="16">
        <v>0</v>
      </c>
      <c r="W73" s="16">
        <v>0</v>
      </c>
      <c r="X73" s="59"/>
    </row>
    <row r="74" spans="1:24" x14ac:dyDescent="0.3">
      <c r="A74" s="54"/>
      <c r="B74" s="79"/>
      <c r="C74" s="16"/>
      <c r="D74" s="16"/>
      <c r="E74" s="16"/>
      <c r="F74" s="16"/>
      <c r="G74" s="69"/>
      <c r="H74" s="69"/>
      <c r="I74" s="69"/>
      <c r="J74" s="69"/>
      <c r="K74" s="69"/>
      <c r="L74" s="69"/>
      <c r="M74" s="69"/>
      <c r="N74" s="69"/>
      <c r="O74" s="75">
        <v>3</v>
      </c>
      <c r="P74" s="66"/>
      <c r="Q74" s="66"/>
      <c r="R74" s="66"/>
      <c r="S74" s="66"/>
      <c r="T74" s="66"/>
      <c r="U74" s="66"/>
      <c r="V74" s="16"/>
      <c r="W74" s="16"/>
      <c r="X74" s="59"/>
    </row>
    <row r="75" spans="1:24" x14ac:dyDescent="0.3">
      <c r="A75" s="54"/>
      <c r="B75" s="79"/>
      <c r="C75" s="42" t="s">
        <v>160</v>
      </c>
      <c r="D75" s="42"/>
      <c r="E75" s="42" t="s">
        <v>53</v>
      </c>
      <c r="F75" s="42"/>
      <c r="G75" s="69">
        <v>1</v>
      </c>
      <c r="H75" s="69">
        <v>5</v>
      </c>
      <c r="I75" s="69">
        <v>5</v>
      </c>
      <c r="J75" s="69">
        <v>5</v>
      </c>
      <c r="K75" s="69">
        <v>5</v>
      </c>
      <c r="L75" s="69">
        <v>5</v>
      </c>
      <c r="M75" s="69">
        <v>5</v>
      </c>
      <c r="N75" s="69">
        <v>5</v>
      </c>
      <c r="O75" s="72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16">
        <v>0</v>
      </c>
      <c r="W75" s="16">
        <v>0</v>
      </c>
      <c r="X75" s="59"/>
    </row>
    <row r="76" spans="1:24" x14ac:dyDescent="0.3">
      <c r="A76" s="54"/>
      <c r="B76" s="79"/>
      <c r="C76" s="16"/>
      <c r="D76" s="16"/>
      <c r="E76" s="16"/>
      <c r="F76" s="16"/>
      <c r="G76" s="69"/>
      <c r="H76" s="69"/>
      <c r="I76" s="76"/>
      <c r="J76" s="76"/>
      <c r="K76" s="76"/>
      <c r="L76" s="76"/>
      <c r="M76" s="76"/>
      <c r="N76" s="76"/>
      <c r="O76" s="75">
        <v>4</v>
      </c>
      <c r="P76" s="66"/>
      <c r="Q76" s="66"/>
      <c r="R76" s="66"/>
      <c r="S76" s="66"/>
      <c r="T76" s="66"/>
      <c r="U76" s="66"/>
      <c r="V76" s="16"/>
      <c r="W76" s="16"/>
      <c r="X76" s="59"/>
    </row>
    <row r="77" spans="1:24" x14ac:dyDescent="0.3">
      <c r="A77" s="54"/>
      <c r="B77" s="79"/>
      <c r="C77" s="42" t="s">
        <v>161</v>
      </c>
      <c r="D77" s="42"/>
      <c r="E77" s="42" t="s">
        <v>39</v>
      </c>
      <c r="F77" s="42"/>
      <c r="G77" s="69">
        <v>2</v>
      </c>
      <c r="H77" s="69">
        <v>5</v>
      </c>
      <c r="I77" s="69">
        <v>5</v>
      </c>
      <c r="J77" s="69">
        <v>5</v>
      </c>
      <c r="K77" s="69">
        <v>5</v>
      </c>
      <c r="L77" s="69">
        <v>5</v>
      </c>
      <c r="M77" s="69">
        <v>5</v>
      </c>
      <c r="N77" s="69">
        <v>5</v>
      </c>
      <c r="O77" s="69">
        <v>5</v>
      </c>
      <c r="P77" s="72">
        <v>0</v>
      </c>
      <c r="Q77" s="66">
        <v>0</v>
      </c>
      <c r="R77" s="66">
        <v>0</v>
      </c>
      <c r="S77" s="66">
        <v>0</v>
      </c>
      <c r="T77" s="66">
        <v>0</v>
      </c>
      <c r="U77" s="66">
        <v>0</v>
      </c>
      <c r="V77" s="16">
        <v>0</v>
      </c>
      <c r="W77" s="16">
        <v>0</v>
      </c>
      <c r="X77" s="59"/>
    </row>
    <row r="78" spans="1:24" x14ac:dyDescent="0.3">
      <c r="A78" s="54"/>
      <c r="B78" s="79"/>
      <c r="C78" s="16"/>
      <c r="D78" s="16"/>
      <c r="E78" s="16"/>
      <c r="F78" s="16"/>
      <c r="G78" s="69"/>
      <c r="H78" s="69"/>
      <c r="I78" s="69"/>
      <c r="J78" s="69"/>
      <c r="K78" s="69"/>
      <c r="L78" s="69"/>
      <c r="M78" s="69"/>
      <c r="N78" s="69"/>
      <c r="O78" s="69"/>
      <c r="P78" s="75">
        <v>3</v>
      </c>
      <c r="Q78" s="66"/>
      <c r="R78" s="66"/>
      <c r="S78" s="66"/>
      <c r="T78" s="66"/>
      <c r="U78" s="66"/>
      <c r="V78" s="16"/>
      <c r="W78" s="16"/>
      <c r="X78" s="59"/>
    </row>
    <row r="79" spans="1:24" x14ac:dyDescent="0.3">
      <c r="A79" s="54"/>
      <c r="B79" s="79"/>
      <c r="C79" s="42" t="s">
        <v>162</v>
      </c>
      <c r="D79" s="42"/>
      <c r="E79" s="42" t="s">
        <v>39</v>
      </c>
      <c r="F79" s="42"/>
      <c r="G79" s="69">
        <v>2</v>
      </c>
      <c r="H79" s="69">
        <v>5</v>
      </c>
      <c r="I79" s="69">
        <v>5</v>
      </c>
      <c r="J79" s="69">
        <v>5</v>
      </c>
      <c r="K79" s="69">
        <v>5</v>
      </c>
      <c r="L79" s="69">
        <v>5</v>
      </c>
      <c r="M79" s="69">
        <v>5</v>
      </c>
      <c r="N79" s="69">
        <v>5</v>
      </c>
      <c r="O79" s="69">
        <v>5</v>
      </c>
      <c r="P79" s="72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16">
        <v>0</v>
      </c>
      <c r="W79" s="16">
        <v>0</v>
      </c>
      <c r="X79" s="59"/>
    </row>
    <row r="80" spans="1:24" x14ac:dyDescent="0.3">
      <c r="A80" s="54"/>
      <c r="B80" s="80"/>
      <c r="C80" s="16"/>
      <c r="D80" s="16"/>
      <c r="E80" s="16"/>
      <c r="F80" s="16"/>
      <c r="G80" s="69"/>
      <c r="H80" s="69"/>
      <c r="I80" s="69"/>
      <c r="J80" s="69"/>
      <c r="K80" s="69"/>
      <c r="L80" s="69"/>
      <c r="M80" s="69"/>
      <c r="N80" s="69"/>
      <c r="O80" s="69"/>
      <c r="P80" s="75">
        <v>3</v>
      </c>
      <c r="Q80" s="66"/>
      <c r="R80" s="66"/>
      <c r="S80" s="66"/>
      <c r="T80" s="66"/>
      <c r="U80" s="66"/>
      <c r="V80" s="16"/>
      <c r="W80" s="16"/>
      <c r="X80" s="59"/>
    </row>
    <row r="81" spans="1:24" x14ac:dyDescent="0.3">
      <c r="A81" s="54"/>
      <c r="B81" s="50" t="s">
        <v>17</v>
      </c>
      <c r="C81" s="42" t="s">
        <v>163</v>
      </c>
      <c r="D81" s="42"/>
      <c r="E81" s="42" t="s">
        <v>164</v>
      </c>
      <c r="F81" s="42"/>
      <c r="G81" s="69">
        <v>3</v>
      </c>
      <c r="H81" s="69">
        <v>3</v>
      </c>
      <c r="I81" s="69">
        <v>3</v>
      </c>
      <c r="J81" s="69">
        <v>3</v>
      </c>
      <c r="K81" s="69">
        <v>3</v>
      </c>
      <c r="L81" s="69">
        <v>3</v>
      </c>
      <c r="M81" s="69">
        <v>3</v>
      </c>
      <c r="N81" s="69">
        <v>3</v>
      </c>
      <c r="O81" s="69">
        <v>3</v>
      </c>
      <c r="P81" s="72">
        <v>0</v>
      </c>
      <c r="Q81" s="66">
        <v>0</v>
      </c>
      <c r="R81" s="66">
        <v>0</v>
      </c>
      <c r="S81" s="66">
        <v>0</v>
      </c>
      <c r="T81" s="66">
        <v>0</v>
      </c>
      <c r="U81" s="66">
        <v>0</v>
      </c>
      <c r="V81" s="16">
        <v>0</v>
      </c>
      <c r="W81" s="16">
        <v>0</v>
      </c>
      <c r="X81" s="59"/>
    </row>
    <row r="82" spans="1:24" x14ac:dyDescent="0.3">
      <c r="A82" s="54"/>
      <c r="B82" s="50"/>
      <c r="C82" s="42" t="s">
        <v>165</v>
      </c>
      <c r="D82" s="42"/>
      <c r="E82" s="42" t="s">
        <v>164</v>
      </c>
      <c r="F82" s="42"/>
      <c r="G82" s="69">
        <v>3</v>
      </c>
      <c r="H82" s="69">
        <v>3</v>
      </c>
      <c r="I82" s="69">
        <v>3</v>
      </c>
      <c r="J82" s="69">
        <v>3</v>
      </c>
      <c r="K82" s="69">
        <v>3</v>
      </c>
      <c r="L82" s="69">
        <v>3</v>
      </c>
      <c r="M82" s="69">
        <v>3</v>
      </c>
      <c r="N82" s="69">
        <v>3</v>
      </c>
      <c r="O82" s="69">
        <v>3</v>
      </c>
      <c r="P82" s="72">
        <v>0</v>
      </c>
      <c r="Q82" s="66">
        <v>0</v>
      </c>
      <c r="R82" s="66">
        <v>0</v>
      </c>
      <c r="S82" s="66">
        <v>0</v>
      </c>
      <c r="T82" s="66">
        <v>0</v>
      </c>
      <c r="U82" s="66">
        <v>0</v>
      </c>
      <c r="V82" s="16">
        <v>0</v>
      </c>
      <c r="W82" s="16">
        <v>0</v>
      </c>
      <c r="X82" s="59"/>
    </row>
    <row r="83" spans="1:24" x14ac:dyDescent="0.3">
      <c r="A83" s="54"/>
      <c r="B83" s="50"/>
      <c r="C83" s="42" t="s">
        <v>166</v>
      </c>
      <c r="D83" s="42"/>
      <c r="E83" s="42" t="s">
        <v>164</v>
      </c>
      <c r="F83" s="42"/>
      <c r="G83" s="69">
        <v>3</v>
      </c>
      <c r="H83" s="69">
        <v>3</v>
      </c>
      <c r="I83" s="69">
        <v>3</v>
      </c>
      <c r="J83" s="69">
        <v>3</v>
      </c>
      <c r="K83" s="69">
        <v>3</v>
      </c>
      <c r="L83" s="69">
        <v>3</v>
      </c>
      <c r="M83" s="69">
        <v>3</v>
      </c>
      <c r="N83" s="69">
        <v>3</v>
      </c>
      <c r="O83" s="69">
        <v>3</v>
      </c>
      <c r="P83" s="72">
        <v>0</v>
      </c>
      <c r="Q83" s="66">
        <v>0</v>
      </c>
      <c r="R83" s="66">
        <v>0</v>
      </c>
      <c r="S83" s="66">
        <v>0</v>
      </c>
      <c r="T83" s="66">
        <v>0</v>
      </c>
      <c r="U83" s="66">
        <v>0</v>
      </c>
      <c r="V83" s="16">
        <v>0</v>
      </c>
      <c r="W83" s="16">
        <v>0</v>
      </c>
      <c r="X83" s="59"/>
    </row>
    <row r="84" spans="1:24" x14ac:dyDescent="0.3">
      <c r="A84" s="54"/>
      <c r="B84" s="50"/>
      <c r="C84" s="42" t="s">
        <v>167</v>
      </c>
      <c r="D84" s="42"/>
      <c r="E84" s="42" t="s">
        <v>164</v>
      </c>
      <c r="F84" s="42"/>
      <c r="G84" s="69">
        <v>3</v>
      </c>
      <c r="H84" s="69">
        <v>3</v>
      </c>
      <c r="I84" s="69">
        <v>3</v>
      </c>
      <c r="J84" s="69">
        <v>3</v>
      </c>
      <c r="K84" s="69">
        <v>3</v>
      </c>
      <c r="L84" s="69">
        <v>3</v>
      </c>
      <c r="M84" s="69">
        <v>3</v>
      </c>
      <c r="N84" s="69">
        <v>3</v>
      </c>
      <c r="O84" s="69">
        <v>3</v>
      </c>
      <c r="P84" s="72">
        <v>0</v>
      </c>
      <c r="Q84" s="66">
        <v>0</v>
      </c>
      <c r="R84" s="66">
        <v>0</v>
      </c>
      <c r="S84" s="66">
        <v>0</v>
      </c>
      <c r="T84" s="66">
        <v>0</v>
      </c>
      <c r="U84" s="66">
        <v>0</v>
      </c>
      <c r="V84" s="16">
        <v>0</v>
      </c>
      <c r="W84" s="16">
        <v>0</v>
      </c>
      <c r="X84" s="59"/>
    </row>
    <row r="85" spans="1:24" x14ac:dyDescent="0.3">
      <c r="A85" s="54"/>
      <c r="B85" s="50"/>
      <c r="C85" s="42" t="s">
        <v>168</v>
      </c>
      <c r="D85" s="42"/>
      <c r="E85" s="42" t="s">
        <v>164</v>
      </c>
      <c r="F85" s="42"/>
      <c r="G85" s="69">
        <v>3</v>
      </c>
      <c r="H85" s="69">
        <v>3</v>
      </c>
      <c r="I85" s="69">
        <v>3</v>
      </c>
      <c r="J85" s="69">
        <v>3</v>
      </c>
      <c r="K85" s="69">
        <v>3</v>
      </c>
      <c r="L85" s="69">
        <v>3</v>
      </c>
      <c r="M85" s="69">
        <v>3</v>
      </c>
      <c r="N85" s="69">
        <v>3</v>
      </c>
      <c r="O85" s="69">
        <v>3</v>
      </c>
      <c r="P85" s="72">
        <v>0</v>
      </c>
      <c r="Q85" s="66">
        <v>0</v>
      </c>
      <c r="R85" s="66">
        <v>0</v>
      </c>
      <c r="S85" s="66">
        <v>0</v>
      </c>
      <c r="T85" s="66">
        <v>0</v>
      </c>
      <c r="U85" s="66">
        <v>0</v>
      </c>
      <c r="V85" s="16">
        <v>0</v>
      </c>
      <c r="W85" s="16">
        <v>0</v>
      </c>
      <c r="X85" s="59"/>
    </row>
    <row r="86" spans="1:24" x14ac:dyDescent="0.3">
      <c r="A86" s="54"/>
      <c r="B86" s="50" t="s">
        <v>21</v>
      </c>
      <c r="C86" s="42" t="s">
        <v>169</v>
      </c>
      <c r="D86" s="42"/>
      <c r="E86" s="42" t="s">
        <v>39</v>
      </c>
      <c r="F86" s="42"/>
      <c r="G86" s="69">
        <v>1</v>
      </c>
      <c r="H86" s="69">
        <v>2</v>
      </c>
      <c r="I86" s="69">
        <v>2</v>
      </c>
      <c r="J86" s="69">
        <v>2</v>
      </c>
      <c r="K86" s="69">
        <v>2</v>
      </c>
      <c r="L86" s="69">
        <v>2</v>
      </c>
      <c r="M86" s="69">
        <v>2</v>
      </c>
      <c r="N86" s="69">
        <v>2</v>
      </c>
      <c r="O86" s="69">
        <v>2</v>
      </c>
      <c r="P86" s="69">
        <v>2</v>
      </c>
      <c r="Q86" s="72">
        <v>0</v>
      </c>
      <c r="R86" s="66">
        <v>0</v>
      </c>
      <c r="S86" s="66">
        <v>0</v>
      </c>
      <c r="T86" s="66">
        <v>0</v>
      </c>
      <c r="U86" s="66">
        <v>0</v>
      </c>
      <c r="V86" s="16">
        <v>0</v>
      </c>
      <c r="W86" s="16">
        <v>0</v>
      </c>
      <c r="X86" s="59"/>
    </row>
    <row r="87" spans="1:24" x14ac:dyDescent="0.3">
      <c r="A87" s="54"/>
      <c r="B87" s="50"/>
      <c r="C87" s="42" t="s">
        <v>170</v>
      </c>
      <c r="D87" s="42"/>
      <c r="E87" s="42" t="s">
        <v>37</v>
      </c>
      <c r="F87" s="42"/>
      <c r="G87" s="69">
        <v>1</v>
      </c>
      <c r="H87" s="69">
        <v>1</v>
      </c>
      <c r="I87" s="69">
        <v>1</v>
      </c>
      <c r="J87" s="69">
        <v>1</v>
      </c>
      <c r="K87" s="69">
        <v>1</v>
      </c>
      <c r="L87" s="69">
        <v>1</v>
      </c>
      <c r="M87" s="69">
        <v>1</v>
      </c>
      <c r="N87" s="69">
        <v>1</v>
      </c>
      <c r="O87" s="69">
        <v>1</v>
      </c>
      <c r="P87" s="69">
        <v>1</v>
      </c>
      <c r="Q87" s="72">
        <v>0</v>
      </c>
      <c r="R87" s="66">
        <v>0</v>
      </c>
      <c r="S87" s="66">
        <v>0</v>
      </c>
      <c r="T87" s="66">
        <v>0</v>
      </c>
      <c r="U87" s="66">
        <v>0</v>
      </c>
      <c r="V87" s="16">
        <v>0</v>
      </c>
      <c r="W87" s="16">
        <v>0</v>
      </c>
      <c r="X87" s="59"/>
    </row>
    <row r="88" spans="1:24" x14ac:dyDescent="0.3">
      <c r="A88" s="54"/>
      <c r="B88" s="50"/>
      <c r="C88" s="42" t="s">
        <v>171</v>
      </c>
      <c r="D88" s="42"/>
      <c r="E88" s="42" t="s">
        <v>39</v>
      </c>
      <c r="F88" s="42"/>
      <c r="G88" s="69">
        <v>1</v>
      </c>
      <c r="H88" s="69">
        <v>2</v>
      </c>
      <c r="I88" s="69">
        <v>2</v>
      </c>
      <c r="J88" s="69">
        <v>2</v>
      </c>
      <c r="K88" s="69">
        <v>2</v>
      </c>
      <c r="L88" s="69">
        <v>2</v>
      </c>
      <c r="M88" s="69">
        <v>2</v>
      </c>
      <c r="N88" s="69">
        <v>2</v>
      </c>
      <c r="O88" s="69">
        <v>2</v>
      </c>
      <c r="P88" s="69">
        <v>2</v>
      </c>
      <c r="Q88" s="72">
        <v>0</v>
      </c>
      <c r="R88" s="66">
        <v>0</v>
      </c>
      <c r="S88" s="66">
        <v>0</v>
      </c>
      <c r="T88" s="66">
        <v>0</v>
      </c>
      <c r="U88" s="66">
        <v>0</v>
      </c>
      <c r="V88" s="16">
        <v>0</v>
      </c>
      <c r="W88" s="16">
        <v>0</v>
      </c>
      <c r="X88" s="59"/>
    </row>
    <row r="89" spans="1:24" x14ac:dyDescent="0.3">
      <c r="A89" s="54"/>
      <c r="B89" s="50"/>
      <c r="C89" s="42" t="s">
        <v>172</v>
      </c>
      <c r="D89" s="42"/>
      <c r="E89" s="42" t="s">
        <v>133</v>
      </c>
      <c r="F89" s="42"/>
      <c r="G89" s="69">
        <v>1</v>
      </c>
      <c r="H89" s="69">
        <v>1</v>
      </c>
      <c r="I89" s="69">
        <v>1</v>
      </c>
      <c r="J89" s="69">
        <v>1</v>
      </c>
      <c r="K89" s="69">
        <v>1</v>
      </c>
      <c r="L89" s="69">
        <v>1</v>
      </c>
      <c r="M89" s="69">
        <v>1</v>
      </c>
      <c r="N89" s="69">
        <v>1</v>
      </c>
      <c r="O89" s="69">
        <v>1</v>
      </c>
      <c r="P89" s="69">
        <v>1</v>
      </c>
      <c r="Q89" s="72">
        <v>0</v>
      </c>
      <c r="R89" s="66">
        <v>0</v>
      </c>
      <c r="S89" s="66">
        <v>0</v>
      </c>
      <c r="T89" s="66">
        <v>0</v>
      </c>
      <c r="U89" s="66">
        <v>0</v>
      </c>
      <c r="V89" s="16">
        <v>0</v>
      </c>
      <c r="W89" s="16">
        <v>0</v>
      </c>
      <c r="X89" s="59"/>
    </row>
    <row r="90" spans="1:24" x14ac:dyDescent="0.3">
      <c r="A90" s="54"/>
      <c r="B90" s="50"/>
      <c r="C90" s="42" t="s">
        <v>173</v>
      </c>
      <c r="D90" s="42"/>
      <c r="E90" s="42" t="s">
        <v>54</v>
      </c>
      <c r="F90" s="42"/>
      <c r="G90" s="69">
        <v>1</v>
      </c>
      <c r="H90" s="69">
        <v>2</v>
      </c>
      <c r="I90" s="69">
        <v>2</v>
      </c>
      <c r="J90" s="69">
        <v>2</v>
      </c>
      <c r="K90" s="69">
        <v>2</v>
      </c>
      <c r="L90" s="69">
        <v>2</v>
      </c>
      <c r="M90" s="69">
        <v>2</v>
      </c>
      <c r="N90" s="69">
        <v>2</v>
      </c>
      <c r="O90" s="69">
        <v>2</v>
      </c>
      <c r="P90" s="69">
        <v>2</v>
      </c>
      <c r="Q90" s="72">
        <v>0</v>
      </c>
      <c r="R90" s="66">
        <v>0</v>
      </c>
      <c r="S90" s="66">
        <v>0</v>
      </c>
      <c r="T90" s="66">
        <v>0</v>
      </c>
      <c r="U90" s="66">
        <v>0</v>
      </c>
      <c r="V90" s="16">
        <v>0</v>
      </c>
      <c r="W90" s="16">
        <v>0</v>
      </c>
      <c r="X90" s="59"/>
    </row>
    <row r="91" spans="1:24" x14ac:dyDescent="0.3">
      <c r="A91" s="54"/>
      <c r="B91" s="50" t="s">
        <v>174</v>
      </c>
      <c r="C91" s="42" t="s">
        <v>175</v>
      </c>
      <c r="D91" s="42"/>
      <c r="E91" s="42" t="s">
        <v>22</v>
      </c>
      <c r="F91" s="42"/>
      <c r="G91" s="69">
        <v>4</v>
      </c>
      <c r="H91" s="69">
        <v>4</v>
      </c>
      <c r="I91" s="69">
        <v>4</v>
      </c>
      <c r="J91" s="69">
        <v>4</v>
      </c>
      <c r="K91" s="69">
        <v>4</v>
      </c>
      <c r="L91" s="69">
        <v>4</v>
      </c>
      <c r="M91" s="69">
        <v>4</v>
      </c>
      <c r="N91" s="69">
        <v>4</v>
      </c>
      <c r="O91" s="69">
        <v>4</v>
      </c>
      <c r="P91" s="69">
        <v>4</v>
      </c>
      <c r="Q91" s="69">
        <v>4</v>
      </c>
      <c r="R91" s="72">
        <v>0</v>
      </c>
      <c r="S91" s="66">
        <v>0</v>
      </c>
      <c r="T91" s="66">
        <v>0</v>
      </c>
      <c r="U91" s="66">
        <v>0</v>
      </c>
      <c r="V91" s="16">
        <v>0</v>
      </c>
      <c r="W91" s="16">
        <v>0</v>
      </c>
      <c r="X91" s="59"/>
    </row>
    <row r="92" spans="1:24" x14ac:dyDescent="0.3">
      <c r="A92" s="54"/>
      <c r="B92" s="50"/>
      <c r="C92" s="42" t="s">
        <v>176</v>
      </c>
      <c r="D92" s="42"/>
      <c r="E92" s="42" t="s">
        <v>22</v>
      </c>
      <c r="F92" s="42"/>
      <c r="G92" s="69">
        <v>2</v>
      </c>
      <c r="H92" s="69">
        <v>2</v>
      </c>
      <c r="I92" s="69">
        <v>2</v>
      </c>
      <c r="J92" s="69">
        <v>2</v>
      </c>
      <c r="K92" s="69">
        <v>2</v>
      </c>
      <c r="L92" s="69">
        <v>2</v>
      </c>
      <c r="M92" s="69">
        <v>2</v>
      </c>
      <c r="N92" s="69">
        <v>2</v>
      </c>
      <c r="O92" s="69">
        <v>2</v>
      </c>
      <c r="P92" s="69">
        <v>2</v>
      </c>
      <c r="Q92" s="69">
        <v>2</v>
      </c>
      <c r="R92" s="72">
        <v>0</v>
      </c>
      <c r="S92" s="66">
        <v>0</v>
      </c>
      <c r="T92" s="66">
        <v>0</v>
      </c>
      <c r="U92" s="66">
        <v>0</v>
      </c>
      <c r="V92" s="16">
        <v>0</v>
      </c>
      <c r="W92" s="16">
        <v>0</v>
      </c>
      <c r="X92" s="59"/>
    </row>
    <row r="93" spans="1:24" x14ac:dyDescent="0.3">
      <c r="A93" s="54"/>
      <c r="B93" s="51" t="s">
        <v>11</v>
      </c>
      <c r="C93" s="51"/>
      <c r="D93" s="51"/>
      <c r="E93" s="52" t="s">
        <v>131</v>
      </c>
      <c r="F93" s="42"/>
      <c r="G93" s="70">
        <f>SUM(G16:G92)</f>
        <v>92</v>
      </c>
      <c r="H93" s="71"/>
      <c r="I93" s="16">
        <f>SUM(I16:I92)</f>
        <v>162</v>
      </c>
      <c r="J93" s="16">
        <f>SUM(J16:J92)-J17-J19-J21</f>
        <v>155</v>
      </c>
      <c r="K93" s="16">
        <f>SUM(K16:K92)-K23-K25--K27-K29-K31</f>
        <v>136</v>
      </c>
      <c r="L93" s="16">
        <f>SUM(L16:L92)-L33-L35-L37-L40-L42</f>
        <v>110</v>
      </c>
      <c r="M93" s="16">
        <f>SUM(M16:M92)-M44-M46-M48-M50-M52</f>
        <v>90</v>
      </c>
      <c r="N93" s="16">
        <f>SUM(N16:N92)-N54-N56-N58-N60-N62-N64</f>
        <v>66</v>
      </c>
      <c r="O93" s="16">
        <f>SUM(O16:O92)-O66-O68-O70-O72-O74-O76</f>
        <v>39</v>
      </c>
      <c r="P93" s="16">
        <f>SUM(P16:P92)-P78-P80</f>
        <v>14</v>
      </c>
      <c r="Q93" s="16">
        <f>SUM(Q16:Q92)</f>
        <v>6</v>
      </c>
      <c r="R93" s="16">
        <f>SUM(R16:R92)</f>
        <v>0</v>
      </c>
      <c r="S93" s="16">
        <f>SUM(S16:S92)</f>
        <v>0</v>
      </c>
      <c r="T93" s="16">
        <f>SUM(T16:T92)</f>
        <v>0</v>
      </c>
      <c r="U93" s="16">
        <f>SUM(U16:U92)</f>
        <v>0</v>
      </c>
      <c r="V93" s="16">
        <f>SUM(V16:V92)</f>
        <v>0</v>
      </c>
      <c r="W93" s="16">
        <f>SUM(W16:W92)</f>
        <v>0</v>
      </c>
      <c r="X93" s="59"/>
    </row>
    <row r="94" spans="1:24" x14ac:dyDescent="0.3">
      <c r="A94" s="54"/>
      <c r="B94" s="51"/>
      <c r="C94" s="51"/>
      <c r="D94" s="51"/>
      <c r="E94" s="52" t="s">
        <v>132</v>
      </c>
      <c r="F94" s="52"/>
      <c r="G94" s="55">
        <f>SUM(H16:H92)</f>
        <v>162</v>
      </c>
      <c r="H94" s="56"/>
      <c r="I94" s="16">
        <f>SUM(I16:I92)</f>
        <v>162</v>
      </c>
      <c r="J94" s="16">
        <f t="shared" ref="J94:W94" si="0">SUM(J16:J92)</f>
        <v>159</v>
      </c>
      <c r="K94" s="16">
        <f t="shared" si="0"/>
        <v>144</v>
      </c>
      <c r="L94" s="16">
        <f t="shared" si="0"/>
        <v>118</v>
      </c>
      <c r="M94" s="16">
        <f t="shared" si="0"/>
        <v>100</v>
      </c>
      <c r="N94" s="16">
        <f t="shared" si="0"/>
        <v>76</v>
      </c>
      <c r="O94" s="16">
        <f t="shared" si="0"/>
        <v>54</v>
      </c>
      <c r="P94" s="16">
        <f t="shared" si="0"/>
        <v>20</v>
      </c>
      <c r="Q94" s="16">
        <f t="shared" si="0"/>
        <v>6</v>
      </c>
      <c r="R94" s="16">
        <f t="shared" si="0"/>
        <v>0</v>
      </c>
      <c r="S94" s="16">
        <f t="shared" si="0"/>
        <v>0</v>
      </c>
      <c r="T94" s="16">
        <f t="shared" si="0"/>
        <v>0</v>
      </c>
      <c r="U94" s="16">
        <f t="shared" si="0"/>
        <v>0</v>
      </c>
      <c r="V94" s="16">
        <f t="shared" si="0"/>
        <v>0</v>
      </c>
      <c r="W94" s="16">
        <f t="shared" si="0"/>
        <v>0</v>
      </c>
      <c r="X94" s="59"/>
    </row>
    <row r="95" spans="1:24" x14ac:dyDescent="0.3">
      <c r="A95" s="57"/>
      <c r="B95" s="60"/>
      <c r="C95" s="61"/>
      <c r="D95" s="61"/>
      <c r="E95" s="61"/>
      <c r="F95" s="61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</row>
    <row r="96" spans="1:24" x14ac:dyDescent="0.3">
      <c r="A96" s="57"/>
      <c r="B96" s="60"/>
      <c r="C96" s="61"/>
      <c r="D96" s="61"/>
      <c r="E96" s="61"/>
      <c r="F96" s="61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</row>
    <row r="97" spans="1:24" x14ac:dyDescent="0.3">
      <c r="A97" s="57"/>
      <c r="B97" s="60"/>
      <c r="C97" s="61"/>
      <c r="D97" s="61"/>
      <c r="E97" s="61"/>
      <c r="F97" s="61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</row>
    <row r="98" spans="1:24" x14ac:dyDescent="0.3">
      <c r="A98" s="57"/>
      <c r="B98" s="60"/>
      <c r="C98" s="61"/>
      <c r="D98" s="61"/>
      <c r="E98" s="61"/>
      <c r="F98" s="61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</row>
    <row r="99" spans="1:24" x14ac:dyDescent="0.3">
      <c r="A99" s="57"/>
      <c r="B99" s="60"/>
      <c r="C99" s="61"/>
      <c r="D99" s="61"/>
      <c r="E99" s="61"/>
      <c r="F99" s="61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</row>
    <row r="100" spans="1:24" x14ac:dyDescent="0.3">
      <c r="A100" s="57"/>
      <c r="B100" s="60"/>
      <c r="C100" s="61"/>
      <c r="D100" s="61"/>
      <c r="E100" s="61"/>
      <c r="F100" s="61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</row>
    <row r="101" spans="1:24" x14ac:dyDescent="0.3">
      <c r="A101" s="57"/>
      <c r="B101" s="60"/>
      <c r="C101" s="61"/>
      <c r="D101" s="61"/>
      <c r="E101" s="61"/>
      <c r="F101" s="61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</row>
    <row r="102" spans="1:24" x14ac:dyDescent="0.3">
      <c r="A102" s="57"/>
      <c r="B102" s="60"/>
      <c r="C102" s="61"/>
      <c r="D102" s="61"/>
      <c r="E102" s="61"/>
      <c r="F102" s="61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</row>
    <row r="103" spans="1:24" x14ac:dyDescent="0.3">
      <c r="A103" s="57"/>
      <c r="B103" s="60"/>
      <c r="C103" s="61"/>
      <c r="D103" s="61"/>
      <c r="E103" s="61"/>
      <c r="F103" s="61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</row>
    <row r="104" spans="1:24" x14ac:dyDescent="0.3">
      <c r="A104" s="57"/>
      <c r="B104" s="60"/>
      <c r="C104" s="61"/>
      <c r="D104" s="61"/>
      <c r="E104" s="61"/>
      <c r="F104" s="61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</row>
    <row r="105" spans="1:24" x14ac:dyDescent="0.3">
      <c r="A105" s="57"/>
      <c r="B105" s="60"/>
      <c r="C105" s="61"/>
      <c r="D105" s="61"/>
      <c r="E105" s="61"/>
      <c r="F105" s="61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</row>
    <row r="106" spans="1:24" x14ac:dyDescent="0.3">
      <c r="A106" s="57"/>
      <c r="B106" s="60"/>
      <c r="C106" s="61"/>
      <c r="D106" s="61"/>
      <c r="E106" s="61"/>
      <c r="F106" s="61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</row>
    <row r="107" spans="1:24" x14ac:dyDescent="0.3">
      <c r="A107" s="57"/>
      <c r="B107" s="60"/>
      <c r="C107" s="61"/>
      <c r="D107" s="61"/>
      <c r="E107" s="61"/>
      <c r="F107" s="61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</row>
    <row r="108" spans="1:24" x14ac:dyDescent="0.3">
      <c r="A108" s="57"/>
      <c r="B108" s="60"/>
      <c r="C108" s="61"/>
      <c r="D108" s="61"/>
      <c r="E108" s="61"/>
      <c r="F108" s="61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</row>
    <row r="109" spans="1:24" x14ac:dyDescent="0.3">
      <c r="A109" s="57"/>
      <c r="B109" s="60"/>
      <c r="C109" s="61"/>
      <c r="D109" s="61"/>
      <c r="E109" s="61"/>
      <c r="F109" s="61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</row>
    <row r="110" spans="1:24" x14ac:dyDescent="0.3">
      <c r="A110" s="57"/>
      <c r="B110" s="60"/>
      <c r="C110" s="61"/>
      <c r="D110" s="61"/>
      <c r="E110" s="61"/>
      <c r="F110" s="61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</row>
    <row r="111" spans="1:24" x14ac:dyDescent="0.3">
      <c r="A111" s="57"/>
      <c r="B111" s="60"/>
      <c r="C111" s="61"/>
      <c r="D111" s="61"/>
      <c r="E111" s="61"/>
      <c r="F111" s="61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</row>
    <row r="112" spans="1:24" x14ac:dyDescent="0.3">
      <c r="A112" s="57"/>
      <c r="B112" s="60"/>
      <c r="C112" s="61"/>
      <c r="D112" s="61"/>
      <c r="E112" s="61"/>
      <c r="F112" s="61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</row>
    <row r="113" spans="1:24" x14ac:dyDescent="0.3">
      <c r="A113" s="57"/>
      <c r="B113" s="60"/>
      <c r="C113" s="61"/>
      <c r="D113" s="61"/>
      <c r="E113" s="61"/>
      <c r="F113" s="61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</row>
    <row r="114" spans="1:24" x14ac:dyDescent="0.3">
      <c r="A114" s="57"/>
      <c r="B114" s="60"/>
      <c r="C114" s="61"/>
      <c r="D114" s="61"/>
      <c r="E114" s="61"/>
      <c r="F114" s="61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</row>
    <row r="115" spans="1:24" x14ac:dyDescent="0.3">
      <c r="A115" s="57"/>
      <c r="B115" s="60"/>
      <c r="C115" s="61"/>
      <c r="D115" s="61"/>
      <c r="E115" s="61"/>
      <c r="F115" s="61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</row>
    <row r="116" spans="1:24" x14ac:dyDescent="0.3">
      <c r="A116" s="57"/>
      <c r="B116" s="60"/>
      <c r="C116" s="61"/>
      <c r="D116" s="61"/>
      <c r="E116" s="61"/>
      <c r="F116" s="61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</row>
    <row r="117" spans="1:24" x14ac:dyDescent="0.3">
      <c r="A117" s="57"/>
      <c r="B117" s="60"/>
      <c r="C117" s="61"/>
      <c r="D117" s="61"/>
      <c r="E117" s="61"/>
      <c r="F117" s="61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</row>
    <row r="118" spans="1:24" x14ac:dyDescent="0.3">
      <c r="A118" s="57"/>
      <c r="B118" s="60"/>
      <c r="C118" s="61"/>
      <c r="D118" s="61"/>
      <c r="E118" s="61"/>
      <c r="F118" s="61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</row>
    <row r="119" spans="1:24" x14ac:dyDescent="0.3">
      <c r="A119" s="57"/>
      <c r="B119" s="60"/>
      <c r="C119" s="61"/>
      <c r="D119" s="61"/>
      <c r="E119" s="61"/>
      <c r="F119" s="61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</row>
    <row r="120" spans="1:24" x14ac:dyDescent="0.3">
      <c r="A120" s="57"/>
      <c r="B120" s="60"/>
      <c r="C120" s="61"/>
      <c r="D120" s="61"/>
      <c r="E120" s="61"/>
      <c r="F120" s="61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</row>
    <row r="121" spans="1:24" x14ac:dyDescent="0.3">
      <c r="A121" s="57"/>
      <c r="B121" s="60"/>
      <c r="C121" s="61"/>
      <c r="D121" s="61"/>
      <c r="E121" s="61"/>
      <c r="F121" s="61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</row>
    <row r="122" spans="1:24" x14ac:dyDescent="0.3">
      <c r="A122" s="57"/>
      <c r="B122" s="60"/>
      <c r="C122" s="61"/>
      <c r="D122" s="61"/>
      <c r="E122" s="61"/>
      <c r="F122" s="61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</row>
    <row r="123" spans="1:24" x14ac:dyDescent="0.3">
      <c r="A123" s="57"/>
      <c r="B123" s="60"/>
      <c r="C123" s="61"/>
      <c r="D123" s="61"/>
      <c r="E123" s="61"/>
      <c r="F123" s="61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</row>
    <row r="124" spans="1:24" x14ac:dyDescent="0.3">
      <c r="A124" s="57"/>
      <c r="B124" s="60"/>
      <c r="C124" s="61"/>
      <c r="D124" s="61"/>
      <c r="E124" s="61"/>
      <c r="F124" s="61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</row>
    <row r="125" spans="1:24" x14ac:dyDescent="0.3">
      <c r="A125" s="57"/>
      <c r="B125" s="60"/>
      <c r="C125" s="61"/>
      <c r="D125" s="61"/>
      <c r="E125" s="61"/>
      <c r="F125" s="61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</row>
    <row r="126" spans="1:24" x14ac:dyDescent="0.3">
      <c r="A126" s="57"/>
      <c r="B126" s="60"/>
      <c r="C126" s="61"/>
      <c r="D126" s="61"/>
      <c r="E126" s="61"/>
      <c r="F126" s="61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</row>
    <row r="127" spans="1:24" x14ac:dyDescent="0.3">
      <c r="A127" s="57"/>
      <c r="B127" s="60"/>
      <c r="C127" s="61"/>
      <c r="D127" s="61"/>
      <c r="E127" s="61"/>
      <c r="F127" s="61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</row>
    <row r="128" spans="1:24" x14ac:dyDescent="0.3">
      <c r="A128" s="57"/>
      <c r="B128" s="60"/>
      <c r="C128" s="63"/>
      <c r="D128" s="63"/>
      <c r="E128" s="61"/>
      <c r="F128" s="61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</row>
    <row r="129" spans="1:24" x14ac:dyDescent="0.3">
      <c r="A129" s="57"/>
      <c r="B129" s="60"/>
      <c r="C129" s="63"/>
      <c r="D129" s="63"/>
      <c r="E129" s="61"/>
      <c r="F129" s="61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</row>
    <row r="130" spans="1:24" x14ac:dyDescent="0.3">
      <c r="A130" s="57"/>
      <c r="B130" s="63"/>
      <c r="C130" s="61"/>
      <c r="D130" s="61"/>
      <c r="E130" s="61"/>
      <c r="F130" s="61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</row>
    <row r="131" spans="1:24" x14ac:dyDescent="0.3">
      <c r="A131" s="57"/>
      <c r="B131" s="63"/>
      <c r="C131" s="61"/>
      <c r="D131" s="61"/>
      <c r="E131" s="61"/>
      <c r="F131" s="61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</row>
    <row r="132" spans="1:24" x14ac:dyDescent="0.3">
      <c r="A132" s="57"/>
      <c r="B132" s="63"/>
      <c r="C132" s="61"/>
      <c r="D132" s="61"/>
      <c r="E132" s="61"/>
      <c r="F132" s="61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</row>
    <row r="133" spans="1:24" x14ac:dyDescent="0.3">
      <c r="A133" s="57"/>
      <c r="B133" s="63"/>
      <c r="C133" s="61"/>
      <c r="D133" s="61"/>
      <c r="E133" s="61"/>
      <c r="F133" s="61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</row>
    <row r="134" spans="1:24" x14ac:dyDescent="0.3">
      <c r="A134" s="57"/>
      <c r="B134" s="63"/>
      <c r="C134" s="61"/>
      <c r="D134" s="61"/>
      <c r="E134" s="61"/>
      <c r="F134" s="61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</row>
    <row r="135" spans="1:24" x14ac:dyDescent="0.3">
      <c r="A135" s="57"/>
      <c r="B135" s="63"/>
      <c r="C135" s="61"/>
      <c r="D135" s="61"/>
      <c r="E135" s="61"/>
      <c r="F135" s="61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</row>
    <row r="136" spans="1:24" x14ac:dyDescent="0.3">
      <c r="A136" s="57"/>
      <c r="B136" s="63"/>
      <c r="C136" s="61"/>
      <c r="D136" s="61"/>
      <c r="E136" s="61"/>
      <c r="F136" s="61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</row>
    <row r="137" spans="1:24" x14ac:dyDescent="0.3">
      <c r="A137" s="57"/>
      <c r="B137" s="63"/>
      <c r="C137" s="61"/>
      <c r="D137" s="61"/>
      <c r="E137" s="61"/>
      <c r="F137" s="61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</row>
    <row r="138" spans="1:24" x14ac:dyDescent="0.3">
      <c r="A138" s="57"/>
      <c r="B138" s="63"/>
      <c r="C138" s="61"/>
      <c r="D138" s="61"/>
      <c r="E138" s="61"/>
      <c r="F138" s="61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</row>
    <row r="139" spans="1:24" x14ac:dyDescent="0.3">
      <c r="A139" s="57"/>
      <c r="B139" s="63"/>
      <c r="C139" s="61"/>
      <c r="D139" s="61"/>
      <c r="E139" s="61"/>
      <c r="F139" s="61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</row>
    <row r="140" spans="1:24" x14ac:dyDescent="0.3">
      <c r="A140" s="57"/>
      <c r="B140" s="63"/>
      <c r="C140" s="61"/>
      <c r="D140" s="61"/>
      <c r="E140" s="61"/>
      <c r="F140" s="61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</row>
    <row r="141" spans="1:24" x14ac:dyDescent="0.3">
      <c r="A141" s="57"/>
      <c r="B141" s="63"/>
      <c r="C141" s="61"/>
      <c r="D141" s="61"/>
      <c r="E141" s="61"/>
      <c r="F141" s="61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</row>
    <row r="142" spans="1:24" x14ac:dyDescent="0.3">
      <c r="A142" s="57"/>
      <c r="B142" s="63"/>
      <c r="C142" s="61"/>
      <c r="D142" s="61"/>
      <c r="E142" s="61"/>
      <c r="F142" s="61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</row>
    <row r="143" spans="1:24" x14ac:dyDescent="0.3">
      <c r="A143" s="57"/>
      <c r="B143" s="63"/>
      <c r="C143" s="61"/>
      <c r="D143" s="61"/>
      <c r="E143" s="61"/>
      <c r="F143" s="61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</row>
    <row r="144" spans="1:24" x14ac:dyDescent="0.3">
      <c r="A144" s="57"/>
      <c r="B144" s="63"/>
      <c r="C144" s="61"/>
      <c r="D144" s="61"/>
      <c r="E144" s="61"/>
      <c r="F144" s="61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</row>
    <row r="145" spans="1:24" x14ac:dyDescent="0.3">
      <c r="A145" s="57"/>
      <c r="B145" s="63"/>
      <c r="C145" s="61"/>
      <c r="D145" s="61"/>
      <c r="E145" s="61"/>
      <c r="F145" s="61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</row>
    <row r="146" spans="1:24" x14ac:dyDescent="0.3">
      <c r="A146" s="57"/>
      <c r="B146" s="63"/>
      <c r="C146" s="61"/>
      <c r="D146" s="61"/>
      <c r="E146" s="61"/>
      <c r="F146" s="61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</row>
    <row r="147" spans="1:24" x14ac:dyDescent="0.3">
      <c r="A147" s="57"/>
      <c r="B147" s="63"/>
      <c r="C147" s="61"/>
      <c r="D147" s="61"/>
      <c r="E147" s="61"/>
      <c r="F147" s="61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</row>
    <row r="148" spans="1:24" x14ac:dyDescent="0.3">
      <c r="A148" s="57"/>
      <c r="B148" s="63"/>
      <c r="C148" s="61"/>
      <c r="D148" s="61"/>
      <c r="E148" s="61"/>
      <c r="F148" s="61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</row>
    <row r="149" spans="1:24" x14ac:dyDescent="0.3">
      <c r="A149" s="57"/>
      <c r="B149" s="63"/>
      <c r="C149" s="61"/>
      <c r="D149" s="61"/>
      <c r="E149" s="61"/>
      <c r="F149" s="61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</row>
    <row r="150" spans="1:24" x14ac:dyDescent="0.3">
      <c r="A150" s="57"/>
      <c r="B150" s="63"/>
      <c r="C150" s="61"/>
      <c r="D150" s="61"/>
      <c r="E150" s="61"/>
      <c r="F150" s="61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</row>
    <row r="151" spans="1:24" x14ac:dyDescent="0.3">
      <c r="A151" s="57"/>
      <c r="B151" s="63"/>
      <c r="C151" s="61"/>
      <c r="D151" s="61"/>
      <c r="E151" s="61"/>
      <c r="F151" s="61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</row>
    <row r="152" spans="1:24" x14ac:dyDescent="0.3">
      <c r="A152" s="57"/>
      <c r="B152" s="63"/>
      <c r="C152" s="61"/>
      <c r="D152" s="61"/>
      <c r="E152" s="61"/>
      <c r="F152" s="61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</row>
    <row r="153" spans="1:24" x14ac:dyDescent="0.3">
      <c r="A153" s="57"/>
      <c r="B153" s="63"/>
      <c r="C153" s="61"/>
      <c r="D153" s="61"/>
      <c r="E153" s="61"/>
      <c r="F153" s="61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</row>
    <row r="154" spans="1:24" x14ac:dyDescent="0.3">
      <c r="A154" s="57"/>
      <c r="B154" s="61"/>
      <c r="C154" s="61"/>
      <c r="D154" s="61"/>
      <c r="E154" s="61"/>
      <c r="F154" s="61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</row>
    <row r="155" spans="1:24" x14ac:dyDescent="0.3">
      <c r="A155" s="57"/>
      <c r="B155" s="61"/>
      <c r="C155" s="61"/>
      <c r="D155" s="61"/>
      <c r="E155" s="61"/>
      <c r="F155" s="61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</row>
    <row r="156" spans="1:24" x14ac:dyDescent="0.3">
      <c r="A156" s="57"/>
      <c r="B156" s="64"/>
      <c r="C156" s="64"/>
      <c r="D156" s="64"/>
      <c r="E156" s="65"/>
      <c r="F156" s="61"/>
      <c r="G156" s="61"/>
      <c r="H156" s="61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</row>
    <row r="157" spans="1:24" x14ac:dyDescent="0.3">
      <c r="A157" s="57"/>
      <c r="B157" s="64"/>
      <c r="C157" s="64"/>
      <c r="D157" s="64"/>
      <c r="E157" s="65"/>
      <c r="F157" s="65"/>
      <c r="G157" s="61"/>
      <c r="H157" s="61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</row>
  </sheetData>
  <mergeCells count="127">
    <mergeCell ref="G93:H93"/>
    <mergeCell ref="G94:H94"/>
    <mergeCell ref="B19:D19"/>
    <mergeCell ref="B17:D17"/>
    <mergeCell ref="B21:D21"/>
    <mergeCell ref="E21:F21"/>
    <mergeCell ref="E19:F19"/>
    <mergeCell ref="E17:F17"/>
    <mergeCell ref="C23:D23"/>
    <mergeCell ref="C25:D25"/>
    <mergeCell ref="C27:D27"/>
    <mergeCell ref="C29:D29"/>
    <mergeCell ref="C31:D31"/>
    <mergeCell ref="E23:F23"/>
    <mergeCell ref="E25:F25"/>
    <mergeCell ref="E27:F27"/>
    <mergeCell ref="E29:F29"/>
    <mergeCell ref="E31:F31"/>
    <mergeCell ref="B22:B31"/>
    <mergeCell ref="B32:B40"/>
    <mergeCell ref="B70:B80"/>
    <mergeCell ref="A1:B1"/>
    <mergeCell ref="A2:B2"/>
    <mergeCell ref="A3:B3"/>
    <mergeCell ref="A4:B4"/>
    <mergeCell ref="B6:E6"/>
    <mergeCell ref="B13:C13"/>
    <mergeCell ref="B41:B69"/>
    <mergeCell ref="A16:A94"/>
    <mergeCell ref="C15:D15"/>
    <mergeCell ref="E15:F15"/>
    <mergeCell ref="B16:D16"/>
    <mergeCell ref="E16:F16"/>
    <mergeCell ref="B18:D18"/>
    <mergeCell ref="E18:F18"/>
    <mergeCell ref="B20:D20"/>
    <mergeCell ref="E20:F20"/>
    <mergeCell ref="C22:D22"/>
    <mergeCell ref="B81:B85"/>
    <mergeCell ref="B86:B90"/>
    <mergeCell ref="B91:B92"/>
    <mergeCell ref="B93:D94"/>
    <mergeCell ref="C32:D32"/>
    <mergeCell ref="E32:F32"/>
    <mergeCell ref="C34:D34"/>
    <mergeCell ref="E34:F34"/>
    <mergeCell ref="C36:D36"/>
    <mergeCell ref="E36:F36"/>
    <mergeCell ref="E22:F22"/>
    <mergeCell ref="C24:D24"/>
    <mergeCell ref="E24:F24"/>
    <mergeCell ref="C26:D26"/>
    <mergeCell ref="E26:F26"/>
    <mergeCell ref="C28:D28"/>
    <mergeCell ref="E28:F28"/>
    <mergeCell ref="C30:D30"/>
    <mergeCell ref="E30:F30"/>
    <mergeCell ref="C43:D43"/>
    <mergeCell ref="E43:F43"/>
    <mergeCell ref="C45:D45"/>
    <mergeCell ref="E45:F45"/>
    <mergeCell ref="C47:D47"/>
    <mergeCell ref="E47:F47"/>
    <mergeCell ref="C38:D38"/>
    <mergeCell ref="E38:F38"/>
    <mergeCell ref="C39:D39"/>
    <mergeCell ref="E39:F39"/>
    <mergeCell ref="C41:D41"/>
    <mergeCell ref="E41:F41"/>
    <mergeCell ref="C65:D65"/>
    <mergeCell ref="E65:F65"/>
    <mergeCell ref="C67:D67"/>
    <mergeCell ref="E67:F67"/>
    <mergeCell ref="C69:D69"/>
    <mergeCell ref="E69:F69"/>
    <mergeCell ref="E57:F57"/>
    <mergeCell ref="C59:D59"/>
    <mergeCell ref="E59:F59"/>
    <mergeCell ref="C61:D61"/>
    <mergeCell ref="E61:F61"/>
    <mergeCell ref="C63:D63"/>
    <mergeCell ref="E63:F63"/>
    <mergeCell ref="C57:D57"/>
    <mergeCell ref="C71:D71"/>
    <mergeCell ref="E71:F71"/>
    <mergeCell ref="C73:D73"/>
    <mergeCell ref="E73:F73"/>
    <mergeCell ref="C75:D75"/>
    <mergeCell ref="E75:F75"/>
    <mergeCell ref="C77:D77"/>
    <mergeCell ref="E77:F77"/>
    <mergeCell ref="C79:D79"/>
    <mergeCell ref="C49:D49"/>
    <mergeCell ref="E49:F49"/>
    <mergeCell ref="C51:D51"/>
    <mergeCell ref="E51:F51"/>
    <mergeCell ref="C53:D53"/>
    <mergeCell ref="E53:F53"/>
    <mergeCell ref="C55:D55"/>
    <mergeCell ref="E55:F55"/>
    <mergeCell ref="C84:D84"/>
    <mergeCell ref="E84:F84"/>
    <mergeCell ref="C85:D85"/>
    <mergeCell ref="E85:F85"/>
    <mergeCell ref="C86:D86"/>
    <mergeCell ref="E86:F86"/>
    <mergeCell ref="E79:F79"/>
    <mergeCell ref="C81:D81"/>
    <mergeCell ref="E81:F81"/>
    <mergeCell ref="C82:D82"/>
    <mergeCell ref="E82:F82"/>
    <mergeCell ref="C83:D83"/>
    <mergeCell ref="E83:F83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E93:F93"/>
    <mergeCell ref="E94:F94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04F7-178F-45CC-B63C-56E41107CA63}">
  <dimension ref="A1:AF125"/>
  <sheetViews>
    <sheetView topLeftCell="B1" zoomScale="70" zoomScaleNormal="70" workbookViewId="0">
      <selection activeCell="G11" sqref="G11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32" ht="51" thickBot="1" x14ac:dyDescent="0.35">
      <c r="A1" s="44" t="s">
        <v>3</v>
      </c>
      <c r="B1" s="44"/>
      <c r="C1" s="30" t="s">
        <v>134</v>
      </c>
      <c r="E1" s="7"/>
      <c r="F1" s="8" t="s">
        <v>29</v>
      </c>
    </row>
    <row r="2" spans="1:32" ht="17.399999999999999" thickBot="1" x14ac:dyDescent="0.35">
      <c r="A2" s="44" t="s">
        <v>2</v>
      </c>
      <c r="B2" s="44"/>
      <c r="C2" s="2" t="s">
        <v>4</v>
      </c>
      <c r="E2" s="10"/>
      <c r="F2" s="9" t="s">
        <v>28</v>
      </c>
    </row>
    <row r="3" spans="1:32" ht="17.399999999999999" thickBot="1" x14ac:dyDescent="0.35">
      <c r="A3" s="44" t="s">
        <v>1</v>
      </c>
      <c r="B3" s="44"/>
      <c r="C3" s="31">
        <v>46101</v>
      </c>
      <c r="E3" s="11"/>
      <c r="F3" s="12" t="s">
        <v>27</v>
      </c>
    </row>
    <row r="4" spans="1:32" ht="17.25" customHeight="1" thickBot="1" x14ac:dyDescent="0.35">
      <c r="A4" s="44" t="s">
        <v>0</v>
      </c>
      <c r="B4" s="44"/>
      <c r="C4" s="31">
        <v>46116</v>
      </c>
    </row>
    <row r="5" spans="1:32" ht="16.5" customHeight="1" thickBot="1" x14ac:dyDescent="0.35"/>
    <row r="6" spans="1:32" ht="17.399999999999999" thickBot="1" x14ac:dyDescent="0.35">
      <c r="B6" s="45" t="s">
        <v>5</v>
      </c>
      <c r="C6" s="45"/>
      <c r="D6" s="45"/>
      <c r="E6" s="45"/>
    </row>
    <row r="7" spans="1:32" ht="17.399999999999999" thickBot="1" x14ac:dyDescent="0.35">
      <c r="B7" s="4" t="s">
        <v>6</v>
      </c>
      <c r="C7" s="4" t="s">
        <v>24</v>
      </c>
      <c r="D7" s="4" t="s">
        <v>10</v>
      </c>
      <c r="E7" s="4" t="s">
        <v>23</v>
      </c>
    </row>
    <row r="8" spans="1:32" ht="17.399999999999999" thickBot="1" x14ac:dyDescent="0.35">
      <c r="B8" s="6">
        <v>1</v>
      </c>
      <c r="C8" s="2" t="s">
        <v>30</v>
      </c>
      <c r="D8" s="2">
        <f ca="1">SUMIF($E$16:$F$123,"Hội",$G$16:$G$123)+SUMIF($E$16:$F$123,"All team",$G$16:$G$123)/5+SUMIF($E$16:$F$123,"Hội, Giang",$G$16:$G$123)/2</f>
        <v>37.5</v>
      </c>
      <c r="E8" s="2">
        <f ca="1">SUMIF($E$16:$F$123,"Hội",$H$16:$H$123)+SUMIF($E$16:$F$123,"All team",$H$16:$H$123)/5+SUMIF($E$16:$F$123,"Hội, Giang",$H$16:$H$123)/2</f>
        <v>44</v>
      </c>
    </row>
    <row r="9" spans="1:32" ht="17.399999999999999" thickBot="1" x14ac:dyDescent="0.35">
      <c r="B9" s="6">
        <v>2</v>
      </c>
      <c r="C9" s="2" t="s">
        <v>31</v>
      </c>
      <c r="D9" s="2">
        <f ca="1">SUMIF($E$16:$F$123,"Giang",$G$16:$G$123)+SUMIF($E$16:$F$123,"All team",$G$16:$G$123)/5+SUMIF($E$16:$F$123,"Lĩnh, Giang",$G$16:$G$123)/2+SUMIF($E$16:$F$123,"Hội, Giang",$G$16:$G$123)/2</f>
        <v>34.5</v>
      </c>
      <c r="E9" s="2">
        <f ca="1">SUMIF($E$16:$F$123,"Giang",$H$16:$H$123)+SUMIF($E$16:$F$123,"All team",$H$16:$H$123)/5+SUMIF($E$16:$F$123,"Lĩnh, Giang",$H$16:$H$123)/2+SUMIF($E$16:$F$123,"Hội, Giang",$H$16:$H$123)/2</f>
        <v>34</v>
      </c>
    </row>
    <row r="10" spans="1:32" ht="17.399999999999999" thickBot="1" x14ac:dyDescent="0.35">
      <c r="B10" s="6">
        <v>3</v>
      </c>
      <c r="C10" s="2" t="s">
        <v>32</v>
      </c>
      <c r="D10" s="2">
        <f ca="1">SUMIF($E$16:$F$123,"Nhi",$G$16:$G$123)+SUMIF($E$16:$F$123,"All team",$G$16:$G$123)/5</f>
        <v>18</v>
      </c>
      <c r="E10" s="2">
        <f ca="1">SUMIF($E$16:$F$123,"Nhi",$H$16:$H$123)+SUMIF($E$16:$F$123,"All team",$H$16:$H$123)/5</f>
        <v>19</v>
      </c>
    </row>
    <row r="11" spans="1:32" ht="17.399999999999999" thickBot="1" x14ac:dyDescent="0.35">
      <c r="B11" s="6">
        <v>4</v>
      </c>
      <c r="C11" s="2" t="s">
        <v>33</v>
      </c>
      <c r="D11" s="2">
        <f ca="1">SUMIF($E$16:$F$123,"Khang",$G$16:$G$123)+SUMIF($E$16:$F$123,"All team",$G$16:$G$123)/5+SUMIF($E$16:$F$123,"Khang, Lĩnh",$G$16:$G$123)/2</f>
        <v>29</v>
      </c>
      <c r="E11" s="2">
        <f ca="1">SUMIF($E$16:$F$123,"Khang",$H$16:$H$123)+SUMIF($E$16:$F$123,"All team",$H$16:$H$123)/5+SUMIF($E$16:$F$123,"Khang, Lĩnh",$H$16:$H$123)/2</f>
        <v>26.5</v>
      </c>
    </row>
    <row r="12" spans="1:32" ht="17.399999999999999" thickBot="1" x14ac:dyDescent="0.35">
      <c r="B12" s="6">
        <v>5</v>
      </c>
      <c r="C12" s="2" t="s">
        <v>34</v>
      </c>
      <c r="D12" s="2">
        <f ca="1">SUMIF($E$16:$F$123,"Lĩnh",$G$16:$G$123)+SUMIF($E$16:$F$123,"All team",$G$16:$G$123)/5+SUMIF($E$16:$F$123,"Lĩnh, Giang",$G$16:$G$123)/2+SUMIF($E$16:$F$123,"Khang, Lĩnh",$G$16:$G$123)/2</f>
        <v>30</v>
      </c>
      <c r="E12" s="2">
        <f ca="1">SUMIF($E$16:$F$123,"Lĩnh",$H$16:$H$123)+SUMIF($E$16:$F$123,"All team",$H$16:$H$123)/5+SUMIF($E$16:$F$123,"Lĩnh, Giang",$H$16:$H$123)/2+SUMIF($E$16:$F$123,"Khang, Lĩnh",$H$16:$H$123)/2</f>
        <v>26.5</v>
      </c>
    </row>
    <row r="13" spans="1:32" ht="17.399999999999999" thickBot="1" x14ac:dyDescent="0.35">
      <c r="B13" s="45" t="s">
        <v>11</v>
      </c>
      <c r="C13" s="45"/>
      <c r="D13" s="3">
        <f ca="1">SUM(D8:D12)</f>
        <v>149</v>
      </c>
      <c r="E13" s="3">
        <f ca="1">SUM(E8:E12)</f>
        <v>150</v>
      </c>
    </row>
    <row r="15" spans="1:32" ht="62.25" customHeight="1" thickBot="1" x14ac:dyDescent="0.35">
      <c r="A15" s="13" t="s">
        <v>7</v>
      </c>
      <c r="B15" s="13" t="s">
        <v>35</v>
      </c>
      <c r="C15" s="46" t="s">
        <v>8</v>
      </c>
      <c r="D15" s="46"/>
      <c r="E15" s="47" t="s">
        <v>9</v>
      </c>
      <c r="F15" s="47"/>
      <c r="G15" s="14" t="s">
        <v>10</v>
      </c>
      <c r="H15" s="14" t="s">
        <v>23</v>
      </c>
      <c r="I15" s="15">
        <v>46101</v>
      </c>
      <c r="J15" s="15">
        <v>46102</v>
      </c>
      <c r="K15" s="15">
        <v>46103</v>
      </c>
      <c r="L15" s="15">
        <v>46104</v>
      </c>
      <c r="M15" s="15">
        <v>46105</v>
      </c>
      <c r="N15" s="15">
        <v>46106</v>
      </c>
      <c r="O15" s="15">
        <v>46107</v>
      </c>
      <c r="P15" s="15">
        <v>46108</v>
      </c>
      <c r="Q15" s="15">
        <v>46109</v>
      </c>
      <c r="R15" s="15">
        <v>46110</v>
      </c>
      <c r="S15" s="15">
        <v>46111</v>
      </c>
      <c r="T15" s="15">
        <v>46112</v>
      </c>
      <c r="U15" s="15">
        <v>46113</v>
      </c>
      <c r="V15" s="15">
        <v>46114</v>
      </c>
      <c r="W15" s="15">
        <v>46115</v>
      </c>
      <c r="X15" s="15">
        <v>46116</v>
      </c>
      <c r="Y15" s="5"/>
      <c r="Z15" s="5"/>
      <c r="AA15" s="5"/>
      <c r="AB15" s="5"/>
      <c r="AC15" s="5"/>
      <c r="AD15" s="5"/>
      <c r="AE15" s="5"/>
      <c r="AF15" s="5"/>
    </row>
    <row r="16" spans="1:32" ht="17.399999999999999" thickBot="1" x14ac:dyDescent="0.35">
      <c r="A16" s="53" t="s">
        <v>4</v>
      </c>
      <c r="B16" s="42" t="s">
        <v>36</v>
      </c>
      <c r="C16" s="42"/>
      <c r="D16" s="42"/>
      <c r="E16" s="43" t="s">
        <v>22</v>
      </c>
      <c r="F16" s="43"/>
      <c r="G16" s="16">
        <v>1</v>
      </c>
      <c r="H16" s="16">
        <v>1</v>
      </c>
      <c r="I16" s="16">
        <v>1</v>
      </c>
      <c r="J16" s="7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</row>
    <row r="17" spans="1:24" ht="17.399999999999999" thickBot="1" x14ac:dyDescent="0.35">
      <c r="A17" s="54"/>
      <c r="B17" s="42" t="s">
        <v>12</v>
      </c>
      <c r="C17" s="42"/>
      <c r="D17" s="42"/>
      <c r="E17" s="42" t="s">
        <v>37</v>
      </c>
      <c r="F17" s="42"/>
      <c r="G17" s="16">
        <v>2</v>
      </c>
      <c r="H17" s="16">
        <v>2</v>
      </c>
      <c r="I17" s="16">
        <v>2</v>
      </c>
      <c r="J17" s="7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</row>
    <row r="18" spans="1:24" x14ac:dyDescent="0.3">
      <c r="A18" s="54"/>
      <c r="B18" s="42" t="s">
        <v>38</v>
      </c>
      <c r="C18" s="42"/>
      <c r="D18" s="42"/>
      <c r="E18" s="42" t="s">
        <v>37</v>
      </c>
      <c r="F18" s="42"/>
      <c r="G18" s="16">
        <v>1</v>
      </c>
      <c r="H18" s="16">
        <v>4</v>
      </c>
      <c r="I18" s="16">
        <v>4</v>
      </c>
      <c r="J18" s="7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</row>
    <row r="19" spans="1:24" x14ac:dyDescent="0.3">
      <c r="A19" s="54"/>
      <c r="B19" s="16"/>
      <c r="C19" s="55"/>
      <c r="D19" s="56"/>
      <c r="E19" s="55"/>
      <c r="F19" s="56"/>
      <c r="G19" s="16"/>
      <c r="H19" s="16"/>
      <c r="I19" s="16"/>
      <c r="J19" s="33">
        <v>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6.8" customHeight="1" x14ac:dyDescent="0.3">
      <c r="A20" s="54"/>
      <c r="B20" s="48" t="s">
        <v>13</v>
      </c>
      <c r="C20" s="42" t="s">
        <v>40</v>
      </c>
      <c r="D20" s="42"/>
      <c r="E20" s="42" t="s">
        <v>41</v>
      </c>
      <c r="F20" s="42"/>
      <c r="G20" s="16">
        <v>1</v>
      </c>
      <c r="H20" s="16">
        <v>1</v>
      </c>
      <c r="I20" s="16">
        <v>1</v>
      </c>
      <c r="J20" s="17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</row>
    <row r="21" spans="1:24" x14ac:dyDescent="0.3">
      <c r="A21" s="54"/>
      <c r="B21" s="48"/>
      <c r="C21" s="42" t="s">
        <v>42</v>
      </c>
      <c r="D21" s="42"/>
      <c r="E21" s="42" t="s">
        <v>41</v>
      </c>
      <c r="F21" s="42"/>
      <c r="G21" s="16">
        <v>1</v>
      </c>
      <c r="H21" s="16">
        <v>1</v>
      </c>
      <c r="I21" s="16">
        <v>1</v>
      </c>
      <c r="J21" s="17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</row>
    <row r="22" spans="1:24" x14ac:dyDescent="0.3">
      <c r="A22" s="54"/>
      <c r="B22" s="48"/>
      <c r="C22" s="42" t="s">
        <v>43</v>
      </c>
      <c r="D22" s="42"/>
      <c r="E22" s="42" t="s">
        <v>41</v>
      </c>
      <c r="F22" s="42"/>
      <c r="G22" s="16">
        <v>2</v>
      </c>
      <c r="H22" s="16">
        <v>2</v>
      </c>
      <c r="I22" s="16">
        <v>2</v>
      </c>
      <c r="J22" s="17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</row>
    <row r="23" spans="1:24" x14ac:dyDescent="0.3">
      <c r="A23" s="54"/>
      <c r="B23" s="48"/>
      <c r="C23" s="42" t="s">
        <v>44</v>
      </c>
      <c r="D23" s="42"/>
      <c r="E23" s="42" t="s">
        <v>41</v>
      </c>
      <c r="F23" s="42"/>
      <c r="G23" s="16">
        <v>2</v>
      </c>
      <c r="H23" s="16">
        <v>2</v>
      </c>
      <c r="I23" s="16">
        <v>2</v>
      </c>
      <c r="J23" s="16">
        <v>2</v>
      </c>
      <c r="K23" s="17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</row>
    <row r="24" spans="1:24" x14ac:dyDescent="0.3">
      <c r="A24" s="54"/>
      <c r="B24" s="48"/>
      <c r="C24" s="42" t="s">
        <v>45</v>
      </c>
      <c r="D24" s="42"/>
      <c r="E24" s="42" t="s">
        <v>41</v>
      </c>
      <c r="F24" s="42"/>
      <c r="G24" s="16">
        <v>2</v>
      </c>
      <c r="H24" s="16">
        <v>2</v>
      </c>
      <c r="I24" s="16">
        <v>2</v>
      </c>
      <c r="J24" s="16">
        <v>2</v>
      </c>
      <c r="K24" s="17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</row>
    <row r="25" spans="1:24" x14ac:dyDescent="0.3">
      <c r="A25" s="54"/>
      <c r="B25" s="48"/>
      <c r="C25" s="42" t="s">
        <v>46</v>
      </c>
      <c r="D25" s="42"/>
      <c r="E25" s="42" t="s">
        <v>41</v>
      </c>
      <c r="F25" s="42"/>
      <c r="G25" s="16">
        <v>2</v>
      </c>
      <c r="H25" s="16">
        <v>2</v>
      </c>
      <c r="I25" s="16">
        <v>2</v>
      </c>
      <c r="J25" s="16">
        <v>2</v>
      </c>
      <c r="K25" s="17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</row>
    <row r="26" spans="1:24" x14ac:dyDescent="0.3">
      <c r="A26" s="54"/>
      <c r="B26" s="48"/>
      <c r="C26" s="42" t="s">
        <v>47</v>
      </c>
      <c r="D26" s="42"/>
      <c r="E26" s="42" t="s">
        <v>41</v>
      </c>
      <c r="F26" s="42"/>
      <c r="G26" s="16">
        <v>2</v>
      </c>
      <c r="H26" s="16">
        <v>2</v>
      </c>
      <c r="I26" s="16">
        <v>2</v>
      </c>
      <c r="J26" s="16">
        <v>2</v>
      </c>
      <c r="K26" s="17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</row>
    <row r="27" spans="1:24" x14ac:dyDescent="0.3">
      <c r="A27" s="54"/>
      <c r="B27" s="48"/>
      <c r="C27" s="42" t="s">
        <v>48</v>
      </c>
      <c r="D27" s="42"/>
      <c r="E27" s="42" t="s">
        <v>41</v>
      </c>
      <c r="F27" s="42"/>
      <c r="G27" s="16">
        <v>2</v>
      </c>
      <c r="H27" s="16">
        <v>2</v>
      </c>
      <c r="I27" s="16">
        <v>2</v>
      </c>
      <c r="J27" s="16">
        <v>2</v>
      </c>
      <c r="K27" s="16">
        <v>2</v>
      </c>
      <c r="L27" s="17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</row>
    <row r="28" spans="1:24" x14ac:dyDescent="0.3">
      <c r="A28" s="54"/>
      <c r="B28" s="48"/>
      <c r="C28" s="42" t="s">
        <v>49</v>
      </c>
      <c r="D28" s="42"/>
      <c r="E28" s="42" t="s">
        <v>41</v>
      </c>
      <c r="F28" s="42"/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7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x14ac:dyDescent="0.3">
      <c r="A29" s="54"/>
      <c r="B29" s="48"/>
      <c r="C29" s="42" t="s">
        <v>50</v>
      </c>
      <c r="D29" s="42"/>
      <c r="E29" s="42" t="s">
        <v>41</v>
      </c>
      <c r="F29" s="42"/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7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</row>
    <row r="30" spans="1:24" x14ac:dyDescent="0.3">
      <c r="A30" s="54"/>
      <c r="B30" s="48"/>
      <c r="C30" s="42" t="s">
        <v>51</v>
      </c>
      <c r="D30" s="42"/>
      <c r="E30" s="42" t="s">
        <v>41</v>
      </c>
      <c r="F30" s="42"/>
      <c r="G30" s="16">
        <v>4</v>
      </c>
      <c r="H30" s="16">
        <v>2</v>
      </c>
      <c r="I30" s="16">
        <v>2</v>
      </c>
      <c r="J30" s="16">
        <v>2</v>
      </c>
      <c r="K30" s="16">
        <v>2</v>
      </c>
      <c r="L30" s="17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</row>
    <row r="31" spans="1:24" x14ac:dyDescent="0.3">
      <c r="A31" s="54"/>
      <c r="B31" s="48"/>
      <c r="C31" s="55"/>
      <c r="D31" s="56"/>
      <c r="E31" s="55"/>
      <c r="F31" s="56"/>
      <c r="G31" s="16"/>
      <c r="H31" s="16"/>
      <c r="I31" s="16"/>
      <c r="J31" s="16"/>
      <c r="K31" s="16"/>
      <c r="L31" s="19">
        <v>2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x14ac:dyDescent="0.3">
      <c r="A32" s="54"/>
      <c r="B32" s="48"/>
      <c r="C32" s="42" t="s">
        <v>52</v>
      </c>
      <c r="D32" s="42"/>
      <c r="E32" s="42" t="s">
        <v>41</v>
      </c>
      <c r="F32" s="42"/>
      <c r="G32" s="16">
        <v>2</v>
      </c>
      <c r="H32" s="16">
        <v>2</v>
      </c>
      <c r="I32" s="16">
        <v>2</v>
      </c>
      <c r="J32" s="16">
        <v>2</v>
      </c>
      <c r="K32" s="16">
        <v>2</v>
      </c>
      <c r="L32" s="16">
        <v>2</v>
      </c>
      <c r="M32" s="17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</row>
    <row r="33" spans="1:24" x14ac:dyDescent="0.3">
      <c r="A33" s="54"/>
      <c r="B33" s="48" t="s">
        <v>14</v>
      </c>
      <c r="C33" s="42" t="s">
        <v>40</v>
      </c>
      <c r="D33" s="42"/>
      <c r="E33" s="42" t="s">
        <v>37</v>
      </c>
      <c r="F33" s="42"/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7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</row>
    <row r="34" spans="1:24" x14ac:dyDescent="0.3">
      <c r="A34" s="54"/>
      <c r="B34" s="48"/>
      <c r="C34" s="42" t="s">
        <v>42</v>
      </c>
      <c r="D34" s="42"/>
      <c r="E34" s="42" t="s">
        <v>37</v>
      </c>
      <c r="F34" s="42"/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7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</row>
    <row r="35" spans="1:24" x14ac:dyDescent="0.3">
      <c r="A35" s="54"/>
      <c r="B35" s="48"/>
      <c r="C35" s="42" t="s">
        <v>43</v>
      </c>
      <c r="D35" s="42"/>
      <c r="E35" s="42" t="s">
        <v>37</v>
      </c>
      <c r="F35" s="42"/>
      <c r="G35" s="16">
        <v>2</v>
      </c>
      <c r="H35" s="16">
        <v>2</v>
      </c>
      <c r="I35" s="16">
        <v>2</v>
      </c>
      <c r="J35" s="16">
        <v>2</v>
      </c>
      <c r="K35" s="16">
        <v>2</v>
      </c>
      <c r="L35" s="16">
        <v>2</v>
      </c>
      <c r="M35" s="17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</row>
    <row r="36" spans="1:24" x14ac:dyDescent="0.3">
      <c r="A36" s="54"/>
      <c r="B36" s="48"/>
      <c r="C36" s="42" t="s">
        <v>44</v>
      </c>
      <c r="D36" s="42"/>
      <c r="E36" s="42" t="s">
        <v>39</v>
      </c>
      <c r="F36" s="42"/>
      <c r="G36" s="16">
        <v>1</v>
      </c>
      <c r="H36" s="16">
        <v>2</v>
      </c>
      <c r="I36" s="16">
        <v>2</v>
      </c>
      <c r="J36" s="16">
        <v>2</v>
      </c>
      <c r="K36" s="16">
        <v>2</v>
      </c>
      <c r="L36" s="16">
        <v>1</v>
      </c>
      <c r="M36" s="17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</row>
    <row r="37" spans="1:24" x14ac:dyDescent="0.3">
      <c r="A37" s="54"/>
      <c r="B37" s="48"/>
      <c r="C37" s="55"/>
      <c r="D37" s="56"/>
      <c r="E37" s="55"/>
      <c r="F37" s="56"/>
      <c r="G37" s="16"/>
      <c r="H37" s="16"/>
      <c r="I37" s="16"/>
      <c r="J37" s="16"/>
      <c r="K37" s="16"/>
      <c r="L37" s="16"/>
      <c r="M37" s="18">
        <v>1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x14ac:dyDescent="0.3">
      <c r="A38" s="54"/>
      <c r="B38" s="48"/>
      <c r="C38" s="42" t="s">
        <v>45</v>
      </c>
      <c r="D38" s="42"/>
      <c r="E38" s="42" t="s">
        <v>53</v>
      </c>
      <c r="F38" s="42"/>
      <c r="G38" s="16">
        <v>2</v>
      </c>
      <c r="H38" s="16">
        <v>2</v>
      </c>
      <c r="I38" s="16">
        <v>2</v>
      </c>
      <c r="J38" s="16">
        <v>2</v>
      </c>
      <c r="K38" s="16">
        <v>2</v>
      </c>
      <c r="L38" s="16">
        <v>2</v>
      </c>
      <c r="M38" s="16">
        <v>2</v>
      </c>
      <c r="N38" s="17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</row>
    <row r="39" spans="1:24" x14ac:dyDescent="0.3">
      <c r="A39" s="54"/>
      <c r="B39" s="48"/>
      <c r="C39" s="42" t="s">
        <v>46</v>
      </c>
      <c r="D39" s="42"/>
      <c r="E39" s="42" t="s">
        <v>39</v>
      </c>
      <c r="F39" s="42"/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7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</row>
    <row r="40" spans="1:24" x14ac:dyDescent="0.3">
      <c r="A40" s="54"/>
      <c r="B40" s="48"/>
      <c r="C40" s="42" t="s">
        <v>47</v>
      </c>
      <c r="D40" s="42"/>
      <c r="E40" s="42" t="s">
        <v>39</v>
      </c>
      <c r="F40" s="42"/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7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</row>
    <row r="41" spans="1:24" x14ac:dyDescent="0.3">
      <c r="A41" s="54"/>
      <c r="B41" s="48"/>
      <c r="C41" s="42" t="s">
        <v>48</v>
      </c>
      <c r="D41" s="42"/>
      <c r="E41" s="42" t="s">
        <v>37</v>
      </c>
      <c r="F41" s="42"/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7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</row>
    <row r="42" spans="1:24" x14ac:dyDescent="0.3">
      <c r="A42" s="54"/>
      <c r="B42" s="48"/>
      <c r="C42" s="42" t="s">
        <v>49</v>
      </c>
      <c r="D42" s="42"/>
      <c r="E42" s="42" t="s">
        <v>54</v>
      </c>
      <c r="F42" s="42"/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7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</row>
    <row r="43" spans="1:24" x14ac:dyDescent="0.3">
      <c r="A43" s="54"/>
      <c r="B43" s="48"/>
      <c r="C43" s="42" t="s">
        <v>50</v>
      </c>
      <c r="D43" s="42"/>
      <c r="E43" s="42" t="s">
        <v>54</v>
      </c>
      <c r="F43" s="42"/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7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</row>
    <row r="44" spans="1:24" x14ac:dyDescent="0.3">
      <c r="A44" s="54"/>
      <c r="B44" s="48"/>
      <c r="C44" s="42" t="s">
        <v>51</v>
      </c>
      <c r="D44" s="42"/>
      <c r="E44" s="42" t="s">
        <v>53</v>
      </c>
      <c r="F44" s="42"/>
      <c r="G44" s="16">
        <v>2</v>
      </c>
      <c r="H44" s="16">
        <v>2</v>
      </c>
      <c r="I44" s="16">
        <v>2</v>
      </c>
      <c r="J44" s="16">
        <v>2</v>
      </c>
      <c r="K44" s="16">
        <v>2</v>
      </c>
      <c r="L44" s="16">
        <v>2</v>
      </c>
      <c r="M44" s="16">
        <v>2</v>
      </c>
      <c r="N44" s="17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</row>
    <row r="45" spans="1:24" x14ac:dyDescent="0.3">
      <c r="A45" s="54"/>
      <c r="B45" s="48"/>
      <c r="C45" s="42" t="s">
        <v>52</v>
      </c>
      <c r="D45" s="42"/>
      <c r="E45" s="42" t="s">
        <v>39</v>
      </c>
      <c r="F45" s="42"/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7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</row>
    <row r="46" spans="1:24" x14ac:dyDescent="0.3">
      <c r="A46" s="54"/>
      <c r="B46" s="48" t="s">
        <v>15</v>
      </c>
      <c r="C46" s="42" t="s">
        <v>55</v>
      </c>
      <c r="D46" s="42"/>
      <c r="E46" s="42" t="s">
        <v>56</v>
      </c>
      <c r="F46" s="42"/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7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</row>
    <row r="47" spans="1:24" x14ac:dyDescent="0.3">
      <c r="A47" s="54"/>
      <c r="B47" s="48"/>
      <c r="C47" s="42" t="s">
        <v>57</v>
      </c>
      <c r="D47" s="42"/>
      <c r="E47" s="42" t="s">
        <v>56</v>
      </c>
      <c r="F47" s="42"/>
      <c r="G47" s="16">
        <v>2</v>
      </c>
      <c r="H47" s="16">
        <v>2</v>
      </c>
      <c r="I47" s="16">
        <v>2</v>
      </c>
      <c r="J47" s="16">
        <v>2</v>
      </c>
      <c r="K47" s="16">
        <v>2</v>
      </c>
      <c r="L47" s="16">
        <v>2</v>
      </c>
      <c r="M47" s="16">
        <v>2</v>
      </c>
      <c r="N47" s="17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</row>
    <row r="48" spans="1:24" x14ac:dyDescent="0.3">
      <c r="A48" s="54"/>
      <c r="B48" s="48"/>
      <c r="C48" s="42" t="s">
        <v>58</v>
      </c>
      <c r="D48" s="42"/>
      <c r="E48" s="42" t="s">
        <v>59</v>
      </c>
      <c r="F48" s="42"/>
      <c r="G48" s="16">
        <v>2</v>
      </c>
      <c r="H48" s="16">
        <v>2</v>
      </c>
      <c r="I48" s="16">
        <v>2</v>
      </c>
      <c r="J48" s="16">
        <v>2</v>
      </c>
      <c r="K48" s="16">
        <v>2</v>
      </c>
      <c r="L48" s="16">
        <v>2</v>
      </c>
      <c r="M48" s="16">
        <v>2</v>
      </c>
      <c r="N48" s="16">
        <v>2</v>
      </c>
      <c r="O48" s="17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</row>
    <row r="49" spans="1:24" x14ac:dyDescent="0.3">
      <c r="A49" s="54"/>
      <c r="B49" s="48"/>
      <c r="C49" s="42" t="s">
        <v>60</v>
      </c>
      <c r="D49" s="42"/>
      <c r="E49" s="42" t="s">
        <v>56</v>
      </c>
      <c r="F49" s="42"/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7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</row>
    <row r="50" spans="1:24" x14ac:dyDescent="0.3">
      <c r="A50" s="54"/>
      <c r="B50" s="48"/>
      <c r="C50" s="42" t="s">
        <v>61</v>
      </c>
      <c r="D50" s="42"/>
      <c r="E50" s="42" t="s">
        <v>56</v>
      </c>
      <c r="F50" s="42"/>
      <c r="G50" s="16">
        <v>2</v>
      </c>
      <c r="H50" s="16">
        <v>2</v>
      </c>
      <c r="I50" s="16">
        <v>2</v>
      </c>
      <c r="J50" s="16">
        <v>2</v>
      </c>
      <c r="K50" s="16">
        <v>2</v>
      </c>
      <c r="L50" s="16">
        <v>2</v>
      </c>
      <c r="M50" s="16">
        <v>2</v>
      </c>
      <c r="N50" s="16">
        <v>2</v>
      </c>
      <c r="O50" s="17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</row>
    <row r="51" spans="1:24" x14ac:dyDescent="0.3">
      <c r="A51" s="54"/>
      <c r="B51" s="48"/>
      <c r="C51" s="42" t="s">
        <v>62</v>
      </c>
      <c r="D51" s="42"/>
      <c r="E51" s="42" t="s">
        <v>59</v>
      </c>
      <c r="F51" s="42"/>
      <c r="G51" s="16">
        <v>3</v>
      </c>
      <c r="H51" s="16">
        <v>3</v>
      </c>
      <c r="I51" s="16">
        <v>3</v>
      </c>
      <c r="J51" s="16">
        <v>3</v>
      </c>
      <c r="K51" s="16">
        <v>3</v>
      </c>
      <c r="L51" s="16">
        <v>3</v>
      </c>
      <c r="M51" s="16">
        <v>3</v>
      </c>
      <c r="N51" s="16">
        <v>3</v>
      </c>
      <c r="O51" s="17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</row>
    <row r="52" spans="1:24" x14ac:dyDescent="0.3">
      <c r="A52" s="54"/>
      <c r="B52" s="48"/>
      <c r="C52" s="42" t="s">
        <v>63</v>
      </c>
      <c r="D52" s="42"/>
      <c r="E52" s="42" t="s">
        <v>56</v>
      </c>
      <c r="F52" s="42"/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7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</row>
    <row r="53" spans="1:24" x14ac:dyDescent="0.3">
      <c r="A53" s="54"/>
      <c r="B53" s="48"/>
      <c r="C53" s="42" t="s">
        <v>64</v>
      </c>
      <c r="D53" s="42"/>
      <c r="E53" s="42" t="s">
        <v>56</v>
      </c>
      <c r="F53" s="42"/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7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</row>
    <row r="54" spans="1:24" x14ac:dyDescent="0.3">
      <c r="A54" s="54"/>
      <c r="B54" s="48"/>
      <c r="C54" s="42" t="s">
        <v>65</v>
      </c>
      <c r="D54" s="42"/>
      <c r="E54" s="42" t="s">
        <v>59</v>
      </c>
      <c r="F54" s="42"/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7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</row>
    <row r="55" spans="1:24" x14ac:dyDescent="0.3">
      <c r="A55" s="54"/>
      <c r="B55" s="48"/>
      <c r="C55" s="42" t="s">
        <v>66</v>
      </c>
      <c r="D55" s="42"/>
      <c r="E55" s="42" t="s">
        <v>56</v>
      </c>
      <c r="F55" s="42"/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7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</row>
    <row r="56" spans="1:24" x14ac:dyDescent="0.3">
      <c r="A56" s="54"/>
      <c r="B56" s="48"/>
      <c r="C56" s="42" t="s">
        <v>67</v>
      </c>
      <c r="D56" s="42"/>
      <c r="E56" s="42" t="s">
        <v>56</v>
      </c>
      <c r="F56" s="42"/>
      <c r="G56" s="16">
        <v>2</v>
      </c>
      <c r="H56" s="16">
        <v>2</v>
      </c>
      <c r="I56" s="16">
        <v>2</v>
      </c>
      <c r="J56" s="16">
        <v>2</v>
      </c>
      <c r="K56" s="16">
        <v>2</v>
      </c>
      <c r="L56" s="16">
        <v>2</v>
      </c>
      <c r="M56" s="16">
        <v>2</v>
      </c>
      <c r="N56" s="16">
        <v>2</v>
      </c>
      <c r="O56" s="32">
        <v>2</v>
      </c>
      <c r="P56" s="17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</row>
    <row r="57" spans="1:24" x14ac:dyDescent="0.3">
      <c r="A57" s="54"/>
      <c r="B57" s="48"/>
      <c r="C57" s="42" t="s">
        <v>68</v>
      </c>
      <c r="D57" s="42"/>
      <c r="E57" s="42" t="s">
        <v>59</v>
      </c>
      <c r="F57" s="42"/>
      <c r="G57" s="16">
        <v>2</v>
      </c>
      <c r="H57" s="16">
        <v>2</v>
      </c>
      <c r="I57" s="16">
        <v>2</v>
      </c>
      <c r="J57" s="16">
        <v>2</v>
      </c>
      <c r="K57" s="16">
        <v>2</v>
      </c>
      <c r="L57" s="16">
        <v>2</v>
      </c>
      <c r="M57" s="16">
        <v>2</v>
      </c>
      <c r="N57" s="16">
        <v>2</v>
      </c>
      <c r="O57" s="32">
        <v>2</v>
      </c>
      <c r="P57" s="17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</row>
    <row r="58" spans="1:24" x14ac:dyDescent="0.3">
      <c r="A58" s="54"/>
      <c r="B58" s="48"/>
      <c r="C58" s="42" t="s">
        <v>69</v>
      </c>
      <c r="D58" s="42"/>
      <c r="E58" s="42" t="s">
        <v>56</v>
      </c>
      <c r="F58" s="42"/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32">
        <v>1</v>
      </c>
      <c r="P58" s="17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</row>
    <row r="59" spans="1:24" x14ac:dyDescent="0.3">
      <c r="A59" s="54"/>
      <c r="B59" s="48"/>
      <c r="C59" s="42" t="s">
        <v>70</v>
      </c>
      <c r="D59" s="42"/>
      <c r="E59" s="42" t="s">
        <v>56</v>
      </c>
      <c r="F59" s="42"/>
      <c r="G59" s="16">
        <v>2</v>
      </c>
      <c r="H59" s="16">
        <v>2</v>
      </c>
      <c r="I59" s="16">
        <v>2</v>
      </c>
      <c r="J59" s="16">
        <v>2</v>
      </c>
      <c r="K59" s="16">
        <v>2</v>
      </c>
      <c r="L59" s="16">
        <v>2</v>
      </c>
      <c r="M59" s="16">
        <v>2</v>
      </c>
      <c r="N59" s="16">
        <v>2</v>
      </c>
      <c r="O59" s="32">
        <v>2</v>
      </c>
      <c r="P59" s="17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</row>
    <row r="60" spans="1:24" x14ac:dyDescent="0.3">
      <c r="A60" s="54"/>
      <c r="B60" s="48"/>
      <c r="C60" s="42" t="s">
        <v>71</v>
      </c>
      <c r="D60" s="42"/>
      <c r="E60" s="42" t="s">
        <v>59</v>
      </c>
      <c r="F60" s="42"/>
      <c r="G60" s="16">
        <v>4</v>
      </c>
      <c r="H60" s="16">
        <v>2</v>
      </c>
      <c r="I60" s="16">
        <v>2</v>
      </c>
      <c r="J60" s="16">
        <v>2</v>
      </c>
      <c r="K60" s="16">
        <v>2</v>
      </c>
      <c r="L60" s="16">
        <v>2</v>
      </c>
      <c r="M60" s="16">
        <v>2</v>
      </c>
      <c r="N60" s="16">
        <v>2</v>
      </c>
      <c r="O60" s="32">
        <v>2</v>
      </c>
      <c r="P60" s="17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</row>
    <row r="61" spans="1:24" x14ac:dyDescent="0.3">
      <c r="A61" s="54"/>
      <c r="B61" s="48"/>
      <c r="C61" s="55"/>
      <c r="D61" s="56"/>
      <c r="E61" s="55"/>
      <c r="F61" s="56"/>
      <c r="G61" s="16"/>
      <c r="H61" s="16"/>
      <c r="I61" s="16"/>
      <c r="J61" s="16"/>
      <c r="K61" s="16"/>
      <c r="L61" s="16"/>
      <c r="M61" s="16"/>
      <c r="N61" s="16"/>
      <c r="O61" s="32"/>
      <c r="P61" s="19">
        <v>2</v>
      </c>
      <c r="Q61" s="32"/>
      <c r="R61" s="32"/>
      <c r="S61" s="32"/>
      <c r="T61" s="32"/>
      <c r="U61" s="32"/>
      <c r="V61" s="32"/>
      <c r="W61" s="32"/>
      <c r="X61" s="32"/>
    </row>
    <row r="62" spans="1:24" x14ac:dyDescent="0.3">
      <c r="A62" s="54"/>
      <c r="B62" s="48"/>
      <c r="C62" s="42" t="s">
        <v>72</v>
      </c>
      <c r="D62" s="42"/>
      <c r="E62" s="42" t="s">
        <v>56</v>
      </c>
      <c r="F62" s="42"/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32">
        <v>1</v>
      </c>
      <c r="P62" s="17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</row>
    <row r="63" spans="1:24" x14ac:dyDescent="0.3">
      <c r="A63" s="54"/>
      <c r="B63" s="48"/>
      <c r="C63" s="42" t="s">
        <v>73</v>
      </c>
      <c r="D63" s="42"/>
      <c r="E63" s="42" t="s">
        <v>56</v>
      </c>
      <c r="F63" s="42"/>
      <c r="G63" s="16">
        <v>1</v>
      </c>
      <c r="H63" s="16">
        <v>2</v>
      </c>
      <c r="I63" s="16">
        <v>2</v>
      </c>
      <c r="J63" s="16">
        <v>2</v>
      </c>
      <c r="K63" s="16">
        <v>2</v>
      </c>
      <c r="L63" s="16">
        <v>2</v>
      </c>
      <c r="M63" s="16">
        <v>2</v>
      </c>
      <c r="N63" s="16">
        <v>2</v>
      </c>
      <c r="O63" s="32">
        <v>2</v>
      </c>
      <c r="P63" s="17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</row>
    <row r="64" spans="1:24" x14ac:dyDescent="0.3">
      <c r="A64" s="54"/>
      <c r="B64" s="48"/>
      <c r="C64" s="55"/>
      <c r="D64" s="56"/>
      <c r="E64" s="55"/>
      <c r="F64" s="56"/>
      <c r="G64" s="16"/>
      <c r="H64" s="16"/>
      <c r="I64" s="16"/>
      <c r="J64" s="16"/>
      <c r="K64" s="16"/>
      <c r="L64" s="16"/>
      <c r="M64" s="16"/>
      <c r="N64" s="16"/>
      <c r="O64" s="32"/>
      <c r="P64" s="18">
        <v>1</v>
      </c>
      <c r="Q64" s="32"/>
      <c r="R64" s="32"/>
      <c r="S64" s="32"/>
      <c r="T64" s="32"/>
      <c r="U64" s="32"/>
      <c r="V64" s="32"/>
      <c r="W64" s="32"/>
      <c r="X64" s="32"/>
    </row>
    <row r="65" spans="1:24" x14ac:dyDescent="0.3">
      <c r="A65" s="54"/>
      <c r="B65" s="48"/>
      <c r="C65" s="42" t="s">
        <v>74</v>
      </c>
      <c r="D65" s="42"/>
      <c r="E65" s="42" t="s">
        <v>59</v>
      </c>
      <c r="F65" s="42"/>
      <c r="G65" s="16">
        <v>2</v>
      </c>
      <c r="H65" s="16">
        <v>2</v>
      </c>
      <c r="I65" s="16">
        <v>2</v>
      </c>
      <c r="J65" s="16">
        <v>2</v>
      </c>
      <c r="K65" s="16">
        <v>2</v>
      </c>
      <c r="L65" s="16">
        <v>2</v>
      </c>
      <c r="M65" s="16">
        <v>2</v>
      </c>
      <c r="N65" s="16">
        <v>2</v>
      </c>
      <c r="O65" s="32">
        <v>2</v>
      </c>
      <c r="P65" s="17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</row>
    <row r="66" spans="1:24" x14ac:dyDescent="0.3">
      <c r="A66" s="54"/>
      <c r="B66" s="48"/>
      <c r="C66" s="42" t="s">
        <v>75</v>
      </c>
      <c r="D66" s="42"/>
      <c r="E66" s="42" t="s">
        <v>56</v>
      </c>
      <c r="F66" s="42"/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32">
        <v>1</v>
      </c>
      <c r="P66" s="32">
        <v>1</v>
      </c>
      <c r="Q66" s="17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</row>
    <row r="67" spans="1:24" x14ac:dyDescent="0.3">
      <c r="A67" s="54"/>
      <c r="B67" s="48"/>
      <c r="C67" s="42" t="s">
        <v>76</v>
      </c>
      <c r="D67" s="42"/>
      <c r="E67" s="42" t="s">
        <v>56</v>
      </c>
      <c r="F67" s="42"/>
      <c r="G67" s="16">
        <v>2</v>
      </c>
      <c r="H67" s="16">
        <v>2</v>
      </c>
      <c r="I67" s="16">
        <v>2</v>
      </c>
      <c r="J67" s="16">
        <v>2</v>
      </c>
      <c r="K67" s="16">
        <v>2</v>
      </c>
      <c r="L67" s="16">
        <v>2</v>
      </c>
      <c r="M67" s="16">
        <v>2</v>
      </c>
      <c r="N67" s="16">
        <v>2</v>
      </c>
      <c r="O67" s="32">
        <v>2</v>
      </c>
      <c r="P67" s="32">
        <v>2</v>
      </c>
      <c r="Q67" s="17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</row>
    <row r="68" spans="1:24" x14ac:dyDescent="0.3">
      <c r="A68" s="54"/>
      <c r="B68" s="48"/>
      <c r="C68" s="42" t="s">
        <v>77</v>
      </c>
      <c r="D68" s="42"/>
      <c r="E68" s="42" t="s">
        <v>59</v>
      </c>
      <c r="F68" s="42"/>
      <c r="G68" s="16">
        <v>2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32">
        <v>1</v>
      </c>
      <c r="P68" s="32">
        <v>1</v>
      </c>
      <c r="Q68" s="17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</row>
    <row r="69" spans="1:24" x14ac:dyDescent="0.3">
      <c r="A69" s="54"/>
      <c r="B69" s="48"/>
      <c r="C69" s="55"/>
      <c r="D69" s="56"/>
      <c r="E69" s="55"/>
      <c r="F69" s="56"/>
      <c r="G69" s="16"/>
      <c r="H69" s="16"/>
      <c r="I69" s="16"/>
      <c r="J69" s="16"/>
      <c r="K69" s="16"/>
      <c r="L69" s="16"/>
      <c r="M69" s="16"/>
      <c r="N69" s="16"/>
      <c r="O69" s="32"/>
      <c r="P69" s="32"/>
      <c r="Q69" s="19">
        <v>1</v>
      </c>
      <c r="R69" s="32"/>
      <c r="S69" s="32"/>
      <c r="T69" s="32"/>
      <c r="U69" s="32"/>
      <c r="V69" s="32"/>
      <c r="W69" s="32"/>
      <c r="X69" s="32"/>
    </row>
    <row r="70" spans="1:24" x14ac:dyDescent="0.3">
      <c r="A70" s="54"/>
      <c r="B70" s="48"/>
      <c r="C70" s="42" t="s">
        <v>78</v>
      </c>
      <c r="D70" s="42"/>
      <c r="E70" s="42" t="s">
        <v>56</v>
      </c>
      <c r="F70" s="42"/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32">
        <v>1</v>
      </c>
      <c r="P70" s="32">
        <v>1</v>
      </c>
      <c r="Q70" s="17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</row>
    <row r="71" spans="1:24" x14ac:dyDescent="0.3">
      <c r="A71" s="54"/>
      <c r="B71" s="48"/>
      <c r="C71" s="42" t="s">
        <v>79</v>
      </c>
      <c r="D71" s="42"/>
      <c r="E71" s="42" t="s">
        <v>56</v>
      </c>
      <c r="F71" s="42"/>
      <c r="G71" s="16">
        <v>2</v>
      </c>
      <c r="H71" s="16">
        <v>2</v>
      </c>
      <c r="I71" s="16">
        <v>2</v>
      </c>
      <c r="J71" s="16">
        <v>2</v>
      </c>
      <c r="K71" s="16">
        <v>2</v>
      </c>
      <c r="L71" s="16">
        <v>2</v>
      </c>
      <c r="M71" s="16">
        <v>2</v>
      </c>
      <c r="N71" s="16">
        <v>2</v>
      </c>
      <c r="O71" s="32">
        <v>2</v>
      </c>
      <c r="P71" s="32">
        <v>2</v>
      </c>
      <c r="Q71" s="17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</row>
    <row r="72" spans="1:24" x14ac:dyDescent="0.3">
      <c r="A72" s="54"/>
      <c r="B72" s="48"/>
      <c r="C72" s="42" t="s">
        <v>80</v>
      </c>
      <c r="D72" s="42"/>
      <c r="E72" s="42" t="s">
        <v>59</v>
      </c>
      <c r="F72" s="42"/>
      <c r="G72" s="16">
        <v>3</v>
      </c>
      <c r="H72" s="16">
        <v>3</v>
      </c>
      <c r="I72" s="16">
        <v>3</v>
      </c>
      <c r="J72" s="16">
        <v>3</v>
      </c>
      <c r="K72" s="16">
        <v>3</v>
      </c>
      <c r="L72" s="16">
        <v>3</v>
      </c>
      <c r="M72" s="16">
        <v>3</v>
      </c>
      <c r="N72" s="16">
        <v>3</v>
      </c>
      <c r="O72" s="32">
        <v>3</v>
      </c>
      <c r="P72" s="32">
        <v>3</v>
      </c>
      <c r="Q72" s="17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</row>
    <row r="73" spans="1:24" x14ac:dyDescent="0.3">
      <c r="A73" s="54"/>
      <c r="B73" s="48"/>
      <c r="C73" s="42" t="s">
        <v>81</v>
      </c>
      <c r="D73" s="42"/>
      <c r="E73" s="42" t="s">
        <v>56</v>
      </c>
      <c r="F73" s="42"/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32">
        <v>1</v>
      </c>
      <c r="P73" s="32">
        <v>1</v>
      </c>
      <c r="Q73" s="17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</row>
    <row r="74" spans="1:24" x14ac:dyDescent="0.3">
      <c r="A74" s="54"/>
      <c r="B74" s="48"/>
      <c r="C74" s="42" t="s">
        <v>82</v>
      </c>
      <c r="D74" s="42"/>
      <c r="E74" s="42" t="s">
        <v>56</v>
      </c>
      <c r="F74" s="42"/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32">
        <v>2</v>
      </c>
      <c r="P74" s="32">
        <v>2</v>
      </c>
      <c r="Q74" s="17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</row>
    <row r="75" spans="1:24" x14ac:dyDescent="0.3">
      <c r="A75" s="54"/>
      <c r="B75" s="48"/>
      <c r="C75" s="42" t="s">
        <v>83</v>
      </c>
      <c r="D75" s="42"/>
      <c r="E75" s="42" t="s">
        <v>59</v>
      </c>
      <c r="F75" s="42"/>
      <c r="G75" s="16">
        <v>4</v>
      </c>
      <c r="H75" s="16">
        <v>2</v>
      </c>
      <c r="I75" s="16">
        <v>2</v>
      </c>
      <c r="J75" s="16">
        <v>2</v>
      </c>
      <c r="K75" s="16">
        <v>2</v>
      </c>
      <c r="L75" s="16">
        <v>2</v>
      </c>
      <c r="M75" s="16">
        <v>2</v>
      </c>
      <c r="N75" s="16">
        <v>2</v>
      </c>
      <c r="O75" s="32">
        <v>2</v>
      </c>
      <c r="P75" s="32">
        <v>2</v>
      </c>
      <c r="Q75" s="17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</row>
    <row r="76" spans="1:24" x14ac:dyDescent="0.3">
      <c r="A76" s="54"/>
      <c r="B76" s="48"/>
      <c r="C76" s="42" t="s">
        <v>84</v>
      </c>
      <c r="D76" s="42"/>
      <c r="E76" s="42" t="s">
        <v>56</v>
      </c>
      <c r="F76" s="42"/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32">
        <v>1</v>
      </c>
      <c r="P76" s="32">
        <v>1</v>
      </c>
      <c r="Q76" s="32">
        <v>1</v>
      </c>
      <c r="R76" s="17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  <row r="77" spans="1:24" x14ac:dyDescent="0.3">
      <c r="A77" s="54"/>
      <c r="B77" s="48"/>
      <c r="C77" s="42" t="s">
        <v>85</v>
      </c>
      <c r="D77" s="42"/>
      <c r="E77" s="42" t="s">
        <v>56</v>
      </c>
      <c r="F77" s="42"/>
      <c r="G77" s="16">
        <v>2</v>
      </c>
      <c r="H77" s="16">
        <v>2</v>
      </c>
      <c r="I77" s="16">
        <v>2</v>
      </c>
      <c r="J77" s="16">
        <v>2</v>
      </c>
      <c r="K77" s="16">
        <v>2</v>
      </c>
      <c r="L77" s="16">
        <v>2</v>
      </c>
      <c r="M77" s="16">
        <v>2</v>
      </c>
      <c r="N77" s="16">
        <v>2</v>
      </c>
      <c r="O77" s="32">
        <v>2</v>
      </c>
      <c r="P77" s="32">
        <v>2</v>
      </c>
      <c r="Q77" s="32">
        <v>2</v>
      </c>
      <c r="R77" s="17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</row>
    <row r="78" spans="1:24" x14ac:dyDescent="0.3">
      <c r="A78" s="54"/>
      <c r="B78" s="48"/>
      <c r="C78" s="42" t="s">
        <v>86</v>
      </c>
      <c r="D78" s="42"/>
      <c r="E78" s="42" t="s">
        <v>59</v>
      </c>
      <c r="F78" s="42"/>
      <c r="G78" s="16">
        <v>2</v>
      </c>
      <c r="H78" s="16">
        <v>2</v>
      </c>
      <c r="I78" s="16">
        <v>2</v>
      </c>
      <c r="J78" s="16">
        <v>2</v>
      </c>
      <c r="K78" s="16">
        <v>2</v>
      </c>
      <c r="L78" s="16">
        <v>2</v>
      </c>
      <c r="M78" s="16">
        <v>2</v>
      </c>
      <c r="N78" s="16">
        <v>2</v>
      </c>
      <c r="O78" s="32">
        <v>2</v>
      </c>
      <c r="P78" s="32">
        <v>2</v>
      </c>
      <c r="Q78" s="32">
        <v>2</v>
      </c>
      <c r="R78" s="17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</row>
    <row r="79" spans="1:24" x14ac:dyDescent="0.3">
      <c r="A79" s="54"/>
      <c r="B79" s="48"/>
      <c r="C79" s="42" t="s">
        <v>87</v>
      </c>
      <c r="D79" s="42"/>
      <c r="E79" s="42" t="s">
        <v>56</v>
      </c>
      <c r="F79" s="42"/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32">
        <v>1</v>
      </c>
      <c r="P79" s="32">
        <v>1</v>
      </c>
      <c r="Q79" s="32">
        <v>1</v>
      </c>
      <c r="R79" s="17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</row>
    <row r="80" spans="1:24" x14ac:dyDescent="0.3">
      <c r="A80" s="54"/>
      <c r="B80" s="48"/>
      <c r="C80" s="42" t="s">
        <v>88</v>
      </c>
      <c r="D80" s="42"/>
      <c r="E80" s="42" t="s">
        <v>56</v>
      </c>
      <c r="F80" s="42"/>
      <c r="G80" s="16">
        <v>2</v>
      </c>
      <c r="H80" s="16">
        <v>2</v>
      </c>
      <c r="I80" s="16">
        <v>2</v>
      </c>
      <c r="J80" s="16">
        <v>2</v>
      </c>
      <c r="K80" s="16">
        <v>2</v>
      </c>
      <c r="L80" s="16">
        <v>2</v>
      </c>
      <c r="M80" s="16">
        <v>2</v>
      </c>
      <c r="N80" s="16">
        <v>2</v>
      </c>
      <c r="O80" s="32">
        <v>2</v>
      </c>
      <c r="P80" s="32">
        <v>2</v>
      </c>
      <c r="Q80" s="32">
        <v>2</v>
      </c>
      <c r="R80" s="17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</row>
    <row r="81" spans="1:24" x14ac:dyDescent="0.3">
      <c r="A81" s="54"/>
      <c r="B81" s="48"/>
      <c r="C81" s="42" t="s">
        <v>89</v>
      </c>
      <c r="D81" s="42"/>
      <c r="E81" s="42" t="s">
        <v>59</v>
      </c>
      <c r="F81" s="42"/>
      <c r="G81" s="16">
        <v>2</v>
      </c>
      <c r="H81" s="16">
        <v>2</v>
      </c>
      <c r="I81" s="16">
        <v>2</v>
      </c>
      <c r="J81" s="16">
        <v>2</v>
      </c>
      <c r="K81" s="16">
        <v>2</v>
      </c>
      <c r="L81" s="16">
        <v>2</v>
      </c>
      <c r="M81" s="16">
        <v>2</v>
      </c>
      <c r="N81" s="16">
        <v>2</v>
      </c>
      <c r="O81" s="32">
        <v>2</v>
      </c>
      <c r="P81" s="32">
        <v>2</v>
      </c>
      <c r="Q81" s="32">
        <v>2</v>
      </c>
      <c r="R81" s="17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</row>
    <row r="82" spans="1:24" x14ac:dyDescent="0.3">
      <c r="A82" s="54"/>
      <c r="B82" s="48"/>
      <c r="C82" s="42" t="s">
        <v>90</v>
      </c>
      <c r="D82" s="42"/>
      <c r="E82" s="42" t="s">
        <v>56</v>
      </c>
      <c r="F82" s="42"/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32">
        <v>1</v>
      </c>
      <c r="P82" s="32">
        <v>1</v>
      </c>
      <c r="Q82" s="32">
        <v>1</v>
      </c>
      <c r="R82" s="17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</row>
    <row r="83" spans="1:24" x14ac:dyDescent="0.3">
      <c r="A83" s="54"/>
      <c r="B83" s="48"/>
      <c r="C83" s="42" t="s">
        <v>91</v>
      </c>
      <c r="D83" s="42"/>
      <c r="E83" s="42" t="s">
        <v>56</v>
      </c>
      <c r="F83" s="42"/>
      <c r="G83" s="16">
        <v>2</v>
      </c>
      <c r="H83" s="16">
        <v>2</v>
      </c>
      <c r="I83" s="16">
        <v>2</v>
      </c>
      <c r="J83" s="16">
        <v>2</v>
      </c>
      <c r="K83" s="16">
        <v>2</v>
      </c>
      <c r="L83" s="16">
        <v>2</v>
      </c>
      <c r="M83" s="16">
        <v>2</v>
      </c>
      <c r="N83" s="16">
        <v>2</v>
      </c>
      <c r="O83" s="32">
        <v>2</v>
      </c>
      <c r="P83" s="32">
        <v>2</v>
      </c>
      <c r="Q83" s="32">
        <v>2</v>
      </c>
      <c r="R83" s="17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</row>
    <row r="84" spans="1:24" x14ac:dyDescent="0.3">
      <c r="A84" s="54"/>
      <c r="B84" s="48"/>
      <c r="C84" s="42" t="s">
        <v>92</v>
      </c>
      <c r="D84" s="42"/>
      <c r="E84" s="42" t="s">
        <v>59</v>
      </c>
      <c r="F84" s="42"/>
      <c r="G84" s="16">
        <v>3</v>
      </c>
      <c r="H84" s="16">
        <v>3</v>
      </c>
      <c r="I84" s="16">
        <v>3</v>
      </c>
      <c r="J84" s="16">
        <v>3</v>
      </c>
      <c r="K84" s="16">
        <v>3</v>
      </c>
      <c r="L84" s="16">
        <v>3</v>
      </c>
      <c r="M84" s="16">
        <v>3</v>
      </c>
      <c r="N84" s="16">
        <v>3</v>
      </c>
      <c r="O84" s="32">
        <v>3</v>
      </c>
      <c r="P84" s="32">
        <v>3</v>
      </c>
      <c r="Q84" s="32">
        <v>3</v>
      </c>
      <c r="R84" s="17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</row>
    <row r="85" spans="1:24" x14ac:dyDescent="0.3">
      <c r="A85" s="54"/>
      <c r="B85" s="48" t="s">
        <v>16</v>
      </c>
      <c r="C85" s="42" t="s">
        <v>93</v>
      </c>
      <c r="D85" s="42"/>
      <c r="E85" s="42" t="s">
        <v>37</v>
      </c>
      <c r="F85" s="42"/>
      <c r="G85" s="16">
        <v>2</v>
      </c>
      <c r="H85" s="16">
        <v>2</v>
      </c>
      <c r="I85" s="16">
        <v>2</v>
      </c>
      <c r="J85" s="16">
        <v>2</v>
      </c>
      <c r="K85" s="16">
        <v>2</v>
      </c>
      <c r="L85" s="16">
        <v>2</v>
      </c>
      <c r="M85" s="16">
        <v>2</v>
      </c>
      <c r="N85" s="16">
        <v>2</v>
      </c>
      <c r="O85" s="32">
        <v>2</v>
      </c>
      <c r="P85" s="32">
        <v>2</v>
      </c>
      <c r="Q85" s="32">
        <v>2</v>
      </c>
      <c r="R85" s="32">
        <v>2</v>
      </c>
      <c r="S85" s="17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</row>
    <row r="86" spans="1:24" x14ac:dyDescent="0.3">
      <c r="A86" s="54"/>
      <c r="B86" s="48"/>
      <c r="C86" s="42" t="s">
        <v>94</v>
      </c>
      <c r="D86" s="42"/>
      <c r="E86" s="42" t="s">
        <v>37</v>
      </c>
      <c r="F86" s="42"/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32">
        <v>1</v>
      </c>
      <c r="P86" s="32">
        <v>1</v>
      </c>
      <c r="Q86" s="32">
        <v>1</v>
      </c>
      <c r="R86" s="32">
        <v>1</v>
      </c>
      <c r="S86" s="17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</row>
    <row r="87" spans="1:24" x14ac:dyDescent="0.3">
      <c r="A87" s="54"/>
      <c r="B87" s="48"/>
      <c r="C87" s="42" t="s">
        <v>95</v>
      </c>
      <c r="D87" s="42"/>
      <c r="E87" s="42" t="s">
        <v>37</v>
      </c>
      <c r="F87" s="42"/>
      <c r="G87" s="16">
        <v>1</v>
      </c>
      <c r="H87" s="16">
        <v>3</v>
      </c>
      <c r="I87" s="16">
        <v>3</v>
      </c>
      <c r="J87" s="16">
        <v>3</v>
      </c>
      <c r="K87" s="16">
        <v>3</v>
      </c>
      <c r="L87" s="16">
        <v>3</v>
      </c>
      <c r="M87" s="16">
        <v>3</v>
      </c>
      <c r="N87" s="16">
        <v>3</v>
      </c>
      <c r="O87" s="32">
        <v>3</v>
      </c>
      <c r="P87" s="32">
        <v>3</v>
      </c>
      <c r="Q87" s="32">
        <v>3</v>
      </c>
      <c r="R87" s="32">
        <v>3</v>
      </c>
      <c r="S87" s="17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</row>
    <row r="88" spans="1:24" x14ac:dyDescent="0.3">
      <c r="A88" s="54"/>
      <c r="B88" s="48"/>
      <c r="C88" s="42" t="s">
        <v>96</v>
      </c>
      <c r="D88" s="42"/>
      <c r="E88" s="42" t="s">
        <v>39</v>
      </c>
      <c r="F88" s="42"/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32">
        <v>1</v>
      </c>
      <c r="P88" s="32">
        <v>1</v>
      </c>
      <c r="Q88" s="32">
        <v>1</v>
      </c>
      <c r="R88" s="32">
        <v>1</v>
      </c>
      <c r="S88" s="17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</row>
    <row r="89" spans="1:24" x14ac:dyDescent="0.3">
      <c r="A89" s="54"/>
      <c r="B89" s="48"/>
      <c r="C89" s="42" t="s">
        <v>97</v>
      </c>
      <c r="D89" s="42"/>
      <c r="E89" s="42" t="s">
        <v>53</v>
      </c>
      <c r="F89" s="42"/>
      <c r="G89" s="16">
        <v>3</v>
      </c>
      <c r="H89" s="16">
        <v>3</v>
      </c>
      <c r="I89" s="16">
        <v>3</v>
      </c>
      <c r="J89" s="16">
        <v>3</v>
      </c>
      <c r="K89" s="16">
        <v>3</v>
      </c>
      <c r="L89" s="16">
        <v>3</v>
      </c>
      <c r="M89" s="16">
        <v>3</v>
      </c>
      <c r="N89" s="16">
        <v>3</v>
      </c>
      <c r="O89" s="32">
        <v>3</v>
      </c>
      <c r="P89" s="32">
        <v>3</v>
      </c>
      <c r="Q89" s="32">
        <v>3</v>
      </c>
      <c r="R89" s="32">
        <v>3</v>
      </c>
      <c r="S89" s="17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</row>
    <row r="90" spans="1:24" x14ac:dyDescent="0.3">
      <c r="A90" s="54"/>
      <c r="B90" s="48"/>
      <c r="C90" s="42" t="s">
        <v>98</v>
      </c>
      <c r="D90" s="42"/>
      <c r="E90" s="42" t="s">
        <v>39</v>
      </c>
      <c r="F90" s="42"/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32">
        <v>1</v>
      </c>
      <c r="P90" s="32">
        <v>1</v>
      </c>
      <c r="Q90" s="32">
        <v>1</v>
      </c>
      <c r="R90" s="32">
        <v>1</v>
      </c>
      <c r="S90" s="17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</row>
    <row r="91" spans="1:24" x14ac:dyDescent="0.3">
      <c r="A91" s="54"/>
      <c r="B91" s="48"/>
      <c r="C91" s="42" t="s">
        <v>99</v>
      </c>
      <c r="D91" s="42"/>
      <c r="E91" s="42" t="s">
        <v>39</v>
      </c>
      <c r="F91" s="42"/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32">
        <v>1</v>
      </c>
      <c r="P91" s="32">
        <v>1</v>
      </c>
      <c r="Q91" s="32">
        <v>1</v>
      </c>
      <c r="R91" s="32">
        <v>1</v>
      </c>
      <c r="S91" s="17">
        <v>0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</row>
    <row r="92" spans="1:24" x14ac:dyDescent="0.3">
      <c r="A92" s="54"/>
      <c r="B92" s="48"/>
      <c r="C92" s="42" t="s">
        <v>100</v>
      </c>
      <c r="D92" s="42"/>
      <c r="E92" s="42" t="s">
        <v>37</v>
      </c>
      <c r="F92" s="42"/>
      <c r="G92" s="16">
        <v>2</v>
      </c>
      <c r="H92" s="16">
        <v>3</v>
      </c>
      <c r="I92" s="16">
        <v>3</v>
      </c>
      <c r="J92" s="16">
        <v>3</v>
      </c>
      <c r="K92" s="16">
        <v>3</v>
      </c>
      <c r="L92" s="16">
        <v>3</v>
      </c>
      <c r="M92" s="16">
        <v>3</v>
      </c>
      <c r="N92" s="16">
        <v>3</v>
      </c>
      <c r="O92" s="32">
        <v>3</v>
      </c>
      <c r="P92" s="32">
        <v>3</v>
      </c>
      <c r="Q92" s="32">
        <v>3</v>
      </c>
      <c r="R92" s="32">
        <v>3</v>
      </c>
      <c r="S92" s="17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</row>
    <row r="93" spans="1:24" x14ac:dyDescent="0.3">
      <c r="A93" s="54"/>
      <c r="B93" s="48"/>
      <c r="C93" s="55"/>
      <c r="D93" s="56"/>
      <c r="E93" s="55"/>
      <c r="F93" s="56"/>
      <c r="G93" s="16"/>
      <c r="H93" s="16"/>
      <c r="I93" s="16"/>
      <c r="J93" s="16"/>
      <c r="K93" s="16"/>
      <c r="L93" s="16"/>
      <c r="M93" s="16"/>
      <c r="N93" s="16"/>
      <c r="O93" s="32"/>
      <c r="P93" s="32"/>
      <c r="Q93" s="32"/>
      <c r="R93" s="32"/>
      <c r="S93" s="18">
        <v>1</v>
      </c>
      <c r="T93" s="32"/>
      <c r="U93" s="32"/>
      <c r="V93" s="32"/>
      <c r="W93" s="32"/>
      <c r="X93" s="32"/>
    </row>
    <row r="94" spans="1:24" x14ac:dyDescent="0.3">
      <c r="A94" s="54"/>
      <c r="B94" s="48"/>
      <c r="C94" s="42" t="s">
        <v>101</v>
      </c>
      <c r="D94" s="42"/>
      <c r="E94" s="42" t="s">
        <v>54</v>
      </c>
      <c r="F94" s="42"/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32">
        <v>1</v>
      </c>
      <c r="P94" s="32">
        <v>1</v>
      </c>
      <c r="Q94" s="32">
        <v>1</v>
      </c>
      <c r="R94" s="32">
        <v>1</v>
      </c>
      <c r="S94" s="17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</row>
    <row r="95" spans="1:24" x14ac:dyDescent="0.3">
      <c r="A95" s="54"/>
      <c r="B95" s="48"/>
      <c r="C95" s="42" t="s">
        <v>102</v>
      </c>
      <c r="D95" s="42"/>
      <c r="E95" s="42" t="s">
        <v>39</v>
      </c>
      <c r="F95" s="42"/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32">
        <v>1</v>
      </c>
      <c r="P95" s="32">
        <v>1</v>
      </c>
      <c r="Q95" s="32">
        <v>1</v>
      </c>
      <c r="R95" s="32">
        <v>1</v>
      </c>
      <c r="S95" s="17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</row>
    <row r="96" spans="1:24" x14ac:dyDescent="0.3">
      <c r="A96" s="54"/>
      <c r="B96" s="48"/>
      <c r="C96" s="49" t="s">
        <v>103</v>
      </c>
      <c r="D96" s="49"/>
      <c r="E96" s="42" t="s">
        <v>53</v>
      </c>
      <c r="F96" s="42"/>
      <c r="G96" s="16">
        <v>2</v>
      </c>
      <c r="H96" s="16">
        <v>2</v>
      </c>
      <c r="I96" s="16">
        <v>2</v>
      </c>
      <c r="J96" s="16">
        <v>2</v>
      </c>
      <c r="K96" s="16">
        <v>2</v>
      </c>
      <c r="L96" s="16">
        <v>2</v>
      </c>
      <c r="M96" s="16">
        <v>2</v>
      </c>
      <c r="N96" s="16">
        <v>2</v>
      </c>
      <c r="O96" s="32">
        <v>2</v>
      </c>
      <c r="P96" s="32">
        <v>2</v>
      </c>
      <c r="Q96" s="32">
        <v>2</v>
      </c>
      <c r="R96" s="32">
        <v>2</v>
      </c>
      <c r="S96" s="17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</row>
    <row r="97" spans="1:24" x14ac:dyDescent="0.3">
      <c r="A97" s="54"/>
      <c r="B97" s="48"/>
      <c r="C97" s="49" t="s">
        <v>104</v>
      </c>
      <c r="D97" s="49"/>
      <c r="E97" s="42" t="s">
        <v>39</v>
      </c>
      <c r="F97" s="42"/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32">
        <v>1</v>
      </c>
      <c r="P97" s="32">
        <v>1</v>
      </c>
      <c r="Q97" s="32">
        <v>1</v>
      </c>
      <c r="R97" s="32">
        <v>1</v>
      </c>
      <c r="S97" s="17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</row>
    <row r="98" spans="1:24" x14ac:dyDescent="0.3">
      <c r="A98" s="54"/>
      <c r="B98" s="50" t="s">
        <v>17</v>
      </c>
      <c r="C98" s="42" t="s">
        <v>105</v>
      </c>
      <c r="D98" s="42"/>
      <c r="E98" s="42" t="s">
        <v>37</v>
      </c>
      <c r="F98" s="42"/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32">
        <v>1</v>
      </c>
      <c r="P98" s="32">
        <v>1</v>
      </c>
      <c r="Q98" s="32">
        <v>1</v>
      </c>
      <c r="R98" s="32">
        <v>1</v>
      </c>
      <c r="S98" s="32">
        <v>1</v>
      </c>
      <c r="T98" s="17">
        <v>0</v>
      </c>
      <c r="U98" s="32">
        <v>0</v>
      </c>
      <c r="V98" s="32">
        <v>0</v>
      </c>
      <c r="W98" s="32">
        <v>0</v>
      </c>
      <c r="X98" s="32">
        <v>0</v>
      </c>
    </row>
    <row r="99" spans="1:24" x14ac:dyDescent="0.3">
      <c r="A99" s="54"/>
      <c r="B99" s="50"/>
      <c r="C99" s="42" t="s">
        <v>106</v>
      </c>
      <c r="D99" s="42"/>
      <c r="E99" s="42" t="s">
        <v>37</v>
      </c>
      <c r="F99" s="42"/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32">
        <v>1</v>
      </c>
      <c r="P99" s="32">
        <v>1</v>
      </c>
      <c r="Q99" s="32">
        <v>1</v>
      </c>
      <c r="R99" s="32">
        <v>1</v>
      </c>
      <c r="S99" s="32">
        <v>1</v>
      </c>
      <c r="T99" s="17">
        <v>0</v>
      </c>
      <c r="U99" s="32">
        <v>0</v>
      </c>
      <c r="V99" s="32">
        <v>0</v>
      </c>
      <c r="W99" s="32">
        <v>0</v>
      </c>
      <c r="X99" s="32">
        <v>0</v>
      </c>
    </row>
    <row r="100" spans="1:24" x14ac:dyDescent="0.3">
      <c r="A100" s="54"/>
      <c r="B100" s="50"/>
      <c r="C100" s="42" t="s">
        <v>107</v>
      </c>
      <c r="D100" s="42"/>
      <c r="E100" s="42" t="s">
        <v>37</v>
      </c>
      <c r="F100" s="42"/>
      <c r="G100" s="16">
        <v>2</v>
      </c>
      <c r="H100" s="16">
        <v>2</v>
      </c>
      <c r="I100" s="16">
        <v>2</v>
      </c>
      <c r="J100" s="16">
        <v>2</v>
      </c>
      <c r="K100" s="16">
        <v>2</v>
      </c>
      <c r="L100" s="16">
        <v>2</v>
      </c>
      <c r="M100" s="16">
        <v>2</v>
      </c>
      <c r="N100" s="16">
        <v>2</v>
      </c>
      <c r="O100" s="32">
        <v>2</v>
      </c>
      <c r="P100" s="32">
        <v>2</v>
      </c>
      <c r="Q100" s="32">
        <v>2</v>
      </c>
      <c r="R100" s="32">
        <v>2</v>
      </c>
      <c r="S100" s="32">
        <v>2</v>
      </c>
      <c r="T100" s="17">
        <v>0</v>
      </c>
      <c r="U100" s="32">
        <v>0</v>
      </c>
      <c r="V100" s="32">
        <v>0</v>
      </c>
      <c r="W100" s="32">
        <v>0</v>
      </c>
      <c r="X100" s="32">
        <v>0</v>
      </c>
    </row>
    <row r="101" spans="1:24" x14ac:dyDescent="0.3">
      <c r="A101" s="54"/>
      <c r="B101" s="50"/>
      <c r="C101" s="42" t="s">
        <v>108</v>
      </c>
      <c r="D101" s="42"/>
      <c r="E101" s="42" t="s">
        <v>133</v>
      </c>
      <c r="F101" s="42"/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32">
        <v>1</v>
      </c>
      <c r="P101" s="32">
        <v>1</v>
      </c>
      <c r="Q101" s="32">
        <v>1</v>
      </c>
      <c r="R101" s="32">
        <v>1</v>
      </c>
      <c r="S101" s="32">
        <v>1</v>
      </c>
      <c r="T101" s="17">
        <v>0</v>
      </c>
      <c r="U101" s="32">
        <v>0</v>
      </c>
      <c r="V101" s="32">
        <v>0</v>
      </c>
      <c r="W101" s="32">
        <v>0</v>
      </c>
      <c r="X101" s="32">
        <v>0</v>
      </c>
    </row>
    <row r="102" spans="1:24" x14ac:dyDescent="0.3">
      <c r="A102" s="54"/>
      <c r="B102" s="50"/>
      <c r="C102" s="42" t="s">
        <v>109</v>
      </c>
      <c r="D102" s="42"/>
      <c r="E102" s="42" t="s">
        <v>53</v>
      </c>
      <c r="F102" s="42"/>
      <c r="G102" s="16">
        <v>2</v>
      </c>
      <c r="H102" s="16">
        <v>2</v>
      </c>
      <c r="I102" s="16">
        <v>2</v>
      </c>
      <c r="J102" s="16">
        <v>2</v>
      </c>
      <c r="K102" s="16">
        <v>2</v>
      </c>
      <c r="L102" s="16">
        <v>2</v>
      </c>
      <c r="M102" s="16">
        <v>2</v>
      </c>
      <c r="N102" s="16">
        <v>2</v>
      </c>
      <c r="O102" s="32">
        <v>2</v>
      </c>
      <c r="P102" s="32">
        <v>2</v>
      </c>
      <c r="Q102" s="32">
        <v>2</v>
      </c>
      <c r="R102" s="32">
        <v>2</v>
      </c>
      <c r="S102" s="32">
        <v>2</v>
      </c>
      <c r="T102" s="17">
        <v>0</v>
      </c>
      <c r="U102" s="32">
        <v>0</v>
      </c>
      <c r="V102" s="32">
        <v>0</v>
      </c>
      <c r="W102" s="32">
        <v>0</v>
      </c>
      <c r="X102" s="32">
        <v>0</v>
      </c>
    </row>
    <row r="103" spans="1:24" x14ac:dyDescent="0.3">
      <c r="A103" s="54"/>
      <c r="B103" s="50"/>
      <c r="C103" s="42" t="s">
        <v>110</v>
      </c>
      <c r="D103" s="42"/>
      <c r="E103" s="42" t="s">
        <v>56</v>
      </c>
      <c r="F103" s="42"/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7">
        <v>0</v>
      </c>
      <c r="U103" s="32">
        <v>0</v>
      </c>
      <c r="V103" s="32">
        <v>0</v>
      </c>
      <c r="W103" s="32">
        <v>0</v>
      </c>
      <c r="X103" s="16">
        <v>0</v>
      </c>
    </row>
    <row r="104" spans="1:24" x14ac:dyDescent="0.3">
      <c r="A104" s="54"/>
      <c r="B104" s="50"/>
      <c r="C104" s="42" t="s">
        <v>111</v>
      </c>
      <c r="D104" s="42"/>
      <c r="E104" s="42" t="s">
        <v>133</v>
      </c>
      <c r="F104" s="42"/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7">
        <v>0</v>
      </c>
      <c r="U104" s="32">
        <v>0</v>
      </c>
      <c r="V104" s="32">
        <v>0</v>
      </c>
      <c r="W104" s="32">
        <v>0</v>
      </c>
      <c r="X104" s="16">
        <v>0</v>
      </c>
    </row>
    <row r="105" spans="1:24" x14ac:dyDescent="0.3">
      <c r="A105" s="54"/>
      <c r="B105" s="50"/>
      <c r="C105" s="42" t="s">
        <v>112</v>
      </c>
      <c r="D105" s="42"/>
      <c r="E105" s="42" t="s">
        <v>37</v>
      </c>
      <c r="F105" s="42"/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7">
        <v>0</v>
      </c>
      <c r="U105" s="32">
        <v>0</v>
      </c>
      <c r="V105" s="32">
        <v>0</v>
      </c>
      <c r="W105" s="32">
        <v>0</v>
      </c>
      <c r="X105" s="16">
        <v>0</v>
      </c>
    </row>
    <row r="106" spans="1:24" x14ac:dyDescent="0.3">
      <c r="A106" s="54"/>
      <c r="B106" s="50"/>
      <c r="C106" s="42" t="s">
        <v>113</v>
      </c>
      <c r="D106" s="42"/>
      <c r="E106" s="42" t="s">
        <v>54</v>
      </c>
      <c r="F106" s="42"/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7">
        <v>0</v>
      </c>
      <c r="U106" s="32">
        <v>0</v>
      </c>
      <c r="V106" s="32">
        <v>0</v>
      </c>
      <c r="W106" s="32">
        <v>0</v>
      </c>
      <c r="X106" s="16">
        <v>0</v>
      </c>
    </row>
    <row r="107" spans="1:24" x14ac:dyDescent="0.3">
      <c r="A107" s="54"/>
      <c r="B107" s="50"/>
      <c r="C107" s="42" t="s">
        <v>114</v>
      </c>
      <c r="D107" s="42"/>
      <c r="E107" s="42" t="s">
        <v>54</v>
      </c>
      <c r="F107" s="42"/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7">
        <v>0</v>
      </c>
      <c r="U107" s="32">
        <v>0</v>
      </c>
      <c r="V107" s="32">
        <v>0</v>
      </c>
      <c r="W107" s="32">
        <v>0</v>
      </c>
      <c r="X107" s="16">
        <v>0</v>
      </c>
    </row>
    <row r="108" spans="1:24" x14ac:dyDescent="0.3">
      <c r="A108" s="54"/>
      <c r="B108" s="50"/>
      <c r="C108" s="42" t="s">
        <v>115</v>
      </c>
      <c r="D108" s="42"/>
      <c r="E108" s="42" t="s">
        <v>53</v>
      </c>
      <c r="F108" s="42"/>
      <c r="G108" s="16">
        <v>2</v>
      </c>
      <c r="H108" s="16">
        <v>2</v>
      </c>
      <c r="I108" s="16">
        <v>2</v>
      </c>
      <c r="J108" s="16">
        <v>2</v>
      </c>
      <c r="K108" s="16">
        <v>2</v>
      </c>
      <c r="L108" s="16">
        <v>2</v>
      </c>
      <c r="M108" s="16">
        <v>2</v>
      </c>
      <c r="N108" s="16">
        <v>2</v>
      </c>
      <c r="O108" s="16">
        <v>2</v>
      </c>
      <c r="P108" s="16">
        <v>2</v>
      </c>
      <c r="Q108" s="16">
        <v>2</v>
      </c>
      <c r="R108" s="16">
        <v>2</v>
      </c>
      <c r="S108" s="16">
        <v>2</v>
      </c>
      <c r="T108" s="17">
        <v>0</v>
      </c>
      <c r="U108" s="32">
        <v>0</v>
      </c>
      <c r="V108" s="32">
        <v>0</v>
      </c>
      <c r="W108" s="32">
        <v>0</v>
      </c>
      <c r="X108" s="16">
        <v>0</v>
      </c>
    </row>
    <row r="109" spans="1:24" x14ac:dyDescent="0.3">
      <c r="A109" s="54"/>
      <c r="B109" s="50"/>
      <c r="C109" s="42" t="s">
        <v>116</v>
      </c>
      <c r="D109" s="42"/>
      <c r="E109" s="42" t="s">
        <v>133</v>
      </c>
      <c r="F109" s="42"/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  <c r="R109" s="16">
        <v>1</v>
      </c>
      <c r="S109" s="16">
        <v>1</v>
      </c>
      <c r="T109" s="17">
        <v>0</v>
      </c>
      <c r="U109" s="32">
        <v>0</v>
      </c>
      <c r="V109" s="32">
        <v>0</v>
      </c>
      <c r="W109" s="32">
        <v>0</v>
      </c>
      <c r="X109" s="16">
        <v>0</v>
      </c>
    </row>
    <row r="110" spans="1:24" x14ac:dyDescent="0.3">
      <c r="A110" s="54"/>
      <c r="B110" s="50" t="s">
        <v>21</v>
      </c>
      <c r="C110" s="42" t="s">
        <v>117</v>
      </c>
      <c r="D110" s="42"/>
      <c r="E110" s="42" t="s">
        <v>39</v>
      </c>
      <c r="F110" s="42"/>
      <c r="G110" s="16">
        <v>0.5</v>
      </c>
      <c r="H110" s="16">
        <v>0.5</v>
      </c>
      <c r="I110" s="16">
        <v>0.5</v>
      </c>
      <c r="J110" s="16">
        <v>0.5</v>
      </c>
      <c r="K110" s="16">
        <v>0.5</v>
      </c>
      <c r="L110" s="16">
        <v>0.5</v>
      </c>
      <c r="M110" s="16">
        <v>0.5</v>
      </c>
      <c r="N110" s="16">
        <v>0.5</v>
      </c>
      <c r="O110" s="16">
        <v>0.5</v>
      </c>
      <c r="P110" s="16">
        <v>0.5</v>
      </c>
      <c r="Q110" s="16">
        <v>0.5</v>
      </c>
      <c r="R110" s="16">
        <v>0.5</v>
      </c>
      <c r="S110" s="16">
        <v>0.5</v>
      </c>
      <c r="T110" s="16">
        <v>0.5</v>
      </c>
      <c r="U110" s="17">
        <v>0</v>
      </c>
      <c r="V110" s="16">
        <v>0</v>
      </c>
      <c r="W110" s="16">
        <v>0</v>
      </c>
      <c r="X110" s="16">
        <v>0</v>
      </c>
    </row>
    <row r="111" spans="1:24" x14ac:dyDescent="0.3">
      <c r="A111" s="54"/>
      <c r="B111" s="50"/>
      <c r="C111" s="42" t="s">
        <v>118</v>
      </c>
      <c r="D111" s="42"/>
      <c r="E111" s="42" t="s">
        <v>39</v>
      </c>
      <c r="F111" s="42"/>
      <c r="G111" s="16">
        <v>0.5</v>
      </c>
      <c r="H111" s="16">
        <v>0.5</v>
      </c>
      <c r="I111" s="16">
        <v>0.5</v>
      </c>
      <c r="J111" s="16">
        <v>0.5</v>
      </c>
      <c r="K111" s="16">
        <v>0.5</v>
      </c>
      <c r="L111" s="16">
        <v>0.5</v>
      </c>
      <c r="M111" s="16">
        <v>0.5</v>
      </c>
      <c r="N111" s="16">
        <v>0.5</v>
      </c>
      <c r="O111" s="16">
        <v>0.5</v>
      </c>
      <c r="P111" s="16">
        <v>0.5</v>
      </c>
      <c r="Q111" s="16">
        <v>0.5</v>
      </c>
      <c r="R111" s="16">
        <v>0.5</v>
      </c>
      <c r="S111" s="16">
        <v>0.5</v>
      </c>
      <c r="T111" s="16">
        <v>0.5</v>
      </c>
      <c r="U111" s="17">
        <v>0</v>
      </c>
      <c r="V111" s="16">
        <v>0</v>
      </c>
      <c r="W111" s="16">
        <v>0</v>
      </c>
      <c r="X111" s="16">
        <v>0</v>
      </c>
    </row>
    <row r="112" spans="1:24" x14ac:dyDescent="0.3">
      <c r="A112" s="54"/>
      <c r="B112" s="50"/>
      <c r="C112" s="42" t="s">
        <v>119</v>
      </c>
      <c r="D112" s="42"/>
      <c r="E112" s="42" t="s">
        <v>39</v>
      </c>
      <c r="F112" s="42"/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7">
        <v>0</v>
      </c>
      <c r="V112" s="16">
        <v>0</v>
      </c>
      <c r="W112" s="16">
        <v>0</v>
      </c>
      <c r="X112" s="16">
        <v>0</v>
      </c>
    </row>
    <row r="113" spans="1:24" x14ac:dyDescent="0.3">
      <c r="A113" s="54"/>
      <c r="B113" s="50"/>
      <c r="C113" s="42" t="s">
        <v>120</v>
      </c>
      <c r="D113" s="42"/>
      <c r="E113" s="42" t="s">
        <v>39</v>
      </c>
      <c r="F113" s="42"/>
      <c r="G113" s="16">
        <v>0.5</v>
      </c>
      <c r="H113" s="16">
        <v>0.5</v>
      </c>
      <c r="I113" s="16">
        <v>0.5</v>
      </c>
      <c r="J113" s="16">
        <v>0.5</v>
      </c>
      <c r="K113" s="16">
        <v>0.5</v>
      </c>
      <c r="L113" s="16">
        <v>0.5</v>
      </c>
      <c r="M113" s="16">
        <v>0.5</v>
      </c>
      <c r="N113" s="16">
        <v>0.5</v>
      </c>
      <c r="O113" s="16">
        <v>0.5</v>
      </c>
      <c r="P113" s="16">
        <v>0.5</v>
      </c>
      <c r="Q113" s="16">
        <v>0.5</v>
      </c>
      <c r="R113" s="16">
        <v>0.5</v>
      </c>
      <c r="S113" s="16">
        <v>0.5</v>
      </c>
      <c r="T113" s="16">
        <v>0.5</v>
      </c>
      <c r="U113" s="17">
        <v>0</v>
      </c>
      <c r="V113" s="16">
        <v>0</v>
      </c>
      <c r="W113" s="16">
        <v>0</v>
      </c>
      <c r="X113" s="16">
        <v>0</v>
      </c>
    </row>
    <row r="114" spans="1:24" x14ac:dyDescent="0.3">
      <c r="A114" s="54"/>
      <c r="B114" s="50"/>
      <c r="C114" s="42" t="s">
        <v>121</v>
      </c>
      <c r="D114" s="42"/>
      <c r="E114" s="42" t="s">
        <v>39</v>
      </c>
      <c r="F114" s="42"/>
      <c r="G114" s="16">
        <v>1.5</v>
      </c>
      <c r="H114" s="16">
        <v>1.5</v>
      </c>
      <c r="I114" s="16">
        <v>1.5</v>
      </c>
      <c r="J114" s="16">
        <v>1.5</v>
      </c>
      <c r="K114" s="16">
        <v>1.5</v>
      </c>
      <c r="L114" s="16">
        <v>1.5</v>
      </c>
      <c r="M114" s="16">
        <v>1.5</v>
      </c>
      <c r="N114" s="16">
        <v>1.5</v>
      </c>
      <c r="O114" s="16">
        <v>1.5</v>
      </c>
      <c r="P114" s="16">
        <v>1.5</v>
      </c>
      <c r="Q114" s="16">
        <v>1.5</v>
      </c>
      <c r="R114" s="16">
        <v>1.5</v>
      </c>
      <c r="S114" s="16">
        <v>1.5</v>
      </c>
      <c r="T114" s="16">
        <v>1.5</v>
      </c>
      <c r="U114" s="17">
        <v>0</v>
      </c>
      <c r="V114" s="16">
        <v>0</v>
      </c>
      <c r="W114" s="16">
        <v>0</v>
      </c>
      <c r="X114" s="16">
        <v>0</v>
      </c>
    </row>
    <row r="115" spans="1:24" x14ac:dyDescent="0.3">
      <c r="A115" s="54"/>
      <c r="B115" s="50"/>
      <c r="C115" s="42" t="s">
        <v>122</v>
      </c>
      <c r="D115" s="42"/>
      <c r="E115" s="42" t="s">
        <v>39</v>
      </c>
      <c r="F115" s="42"/>
      <c r="G115" s="16">
        <v>0.5</v>
      </c>
      <c r="H115" s="16">
        <v>0.5</v>
      </c>
      <c r="I115" s="16">
        <v>0.5</v>
      </c>
      <c r="J115" s="16">
        <v>0.5</v>
      </c>
      <c r="K115" s="16">
        <v>0.5</v>
      </c>
      <c r="L115" s="16">
        <v>0.5</v>
      </c>
      <c r="M115" s="16">
        <v>0.5</v>
      </c>
      <c r="N115" s="16">
        <v>0.5</v>
      </c>
      <c r="O115" s="16">
        <v>0.5</v>
      </c>
      <c r="P115" s="16">
        <v>0.5</v>
      </c>
      <c r="Q115" s="16">
        <v>0.5</v>
      </c>
      <c r="R115" s="16">
        <v>0.5</v>
      </c>
      <c r="S115" s="16">
        <v>0.5</v>
      </c>
      <c r="T115" s="16">
        <v>0.5</v>
      </c>
      <c r="U115" s="16">
        <v>0.5</v>
      </c>
      <c r="V115" s="17">
        <v>0</v>
      </c>
      <c r="W115" s="16">
        <v>0</v>
      </c>
      <c r="X115" s="16">
        <v>0</v>
      </c>
    </row>
    <row r="116" spans="1:24" x14ac:dyDescent="0.3">
      <c r="A116" s="54"/>
      <c r="B116" s="50"/>
      <c r="C116" s="42" t="s">
        <v>123</v>
      </c>
      <c r="D116" s="42"/>
      <c r="E116" s="42" t="s">
        <v>39</v>
      </c>
      <c r="F116" s="42"/>
      <c r="G116" s="16">
        <v>0.5</v>
      </c>
      <c r="H116" s="16">
        <v>0.5</v>
      </c>
      <c r="I116" s="16">
        <v>0.5</v>
      </c>
      <c r="J116" s="16">
        <v>0.5</v>
      </c>
      <c r="K116" s="16">
        <v>0.5</v>
      </c>
      <c r="L116" s="16">
        <v>0.5</v>
      </c>
      <c r="M116" s="16">
        <v>0.5</v>
      </c>
      <c r="N116" s="16">
        <v>0.5</v>
      </c>
      <c r="O116" s="16">
        <v>0.5</v>
      </c>
      <c r="P116" s="16">
        <v>0.5</v>
      </c>
      <c r="Q116" s="16">
        <v>0.5</v>
      </c>
      <c r="R116" s="16">
        <v>0.5</v>
      </c>
      <c r="S116" s="16">
        <v>0.5</v>
      </c>
      <c r="T116" s="16">
        <v>0.5</v>
      </c>
      <c r="U116" s="16">
        <v>0.5</v>
      </c>
      <c r="V116" s="17">
        <v>0</v>
      </c>
      <c r="W116" s="16">
        <v>0</v>
      </c>
      <c r="X116" s="16">
        <v>0</v>
      </c>
    </row>
    <row r="117" spans="1:24" x14ac:dyDescent="0.3">
      <c r="A117" s="54"/>
      <c r="B117" s="50"/>
      <c r="C117" s="42" t="s">
        <v>124</v>
      </c>
      <c r="D117" s="42"/>
      <c r="E117" s="42" t="s">
        <v>39</v>
      </c>
      <c r="F117" s="42"/>
      <c r="G117" s="16">
        <v>0.5</v>
      </c>
      <c r="H117" s="16">
        <v>0.5</v>
      </c>
      <c r="I117" s="16">
        <v>0.5</v>
      </c>
      <c r="J117" s="16">
        <v>0.5</v>
      </c>
      <c r="K117" s="16">
        <v>0.5</v>
      </c>
      <c r="L117" s="16">
        <v>0.5</v>
      </c>
      <c r="M117" s="16">
        <v>0.5</v>
      </c>
      <c r="N117" s="16">
        <v>0.5</v>
      </c>
      <c r="O117" s="16">
        <v>0.5</v>
      </c>
      <c r="P117" s="16">
        <v>0.5</v>
      </c>
      <c r="Q117" s="16">
        <v>0.5</v>
      </c>
      <c r="R117" s="16">
        <v>0.5</v>
      </c>
      <c r="S117" s="16">
        <v>0.5</v>
      </c>
      <c r="T117" s="16">
        <v>0.5</v>
      </c>
      <c r="U117" s="16">
        <v>0.5</v>
      </c>
      <c r="V117" s="17">
        <v>0</v>
      </c>
      <c r="W117" s="16">
        <v>0</v>
      </c>
      <c r="X117" s="16">
        <v>0</v>
      </c>
    </row>
    <row r="118" spans="1:24" x14ac:dyDescent="0.3">
      <c r="A118" s="54"/>
      <c r="B118" s="50"/>
      <c r="C118" s="42" t="s">
        <v>125</v>
      </c>
      <c r="D118" s="42"/>
      <c r="E118" s="42" t="s">
        <v>39</v>
      </c>
      <c r="F118" s="42"/>
      <c r="G118" s="16">
        <v>0.5</v>
      </c>
      <c r="H118" s="16">
        <v>0.5</v>
      </c>
      <c r="I118" s="16">
        <v>0.5</v>
      </c>
      <c r="J118" s="16">
        <v>0.5</v>
      </c>
      <c r="K118" s="16">
        <v>0.5</v>
      </c>
      <c r="L118" s="16">
        <v>0.5</v>
      </c>
      <c r="M118" s="16">
        <v>0.5</v>
      </c>
      <c r="N118" s="16">
        <v>0.5</v>
      </c>
      <c r="O118" s="16">
        <v>0.5</v>
      </c>
      <c r="P118" s="16">
        <v>0.5</v>
      </c>
      <c r="Q118" s="16">
        <v>0.5</v>
      </c>
      <c r="R118" s="16">
        <v>0.5</v>
      </c>
      <c r="S118" s="16">
        <v>0.5</v>
      </c>
      <c r="T118" s="16">
        <v>0.5</v>
      </c>
      <c r="U118" s="16">
        <v>0.5</v>
      </c>
      <c r="V118" s="17">
        <v>0</v>
      </c>
      <c r="W118" s="16">
        <v>0</v>
      </c>
      <c r="X118" s="16">
        <v>0</v>
      </c>
    </row>
    <row r="119" spans="1:24" x14ac:dyDescent="0.3">
      <c r="A119" s="54"/>
      <c r="B119" s="50"/>
      <c r="C119" s="42" t="s">
        <v>126</v>
      </c>
      <c r="D119" s="42"/>
      <c r="E119" s="42" t="s">
        <v>39</v>
      </c>
      <c r="F119" s="42"/>
      <c r="G119" s="16">
        <v>0.5</v>
      </c>
      <c r="H119" s="16">
        <v>0.5</v>
      </c>
      <c r="I119" s="16">
        <v>0.5</v>
      </c>
      <c r="J119" s="16">
        <v>0.5</v>
      </c>
      <c r="K119" s="16">
        <v>0.5</v>
      </c>
      <c r="L119" s="16">
        <v>0.5</v>
      </c>
      <c r="M119" s="16">
        <v>0.5</v>
      </c>
      <c r="N119" s="16">
        <v>0.5</v>
      </c>
      <c r="O119" s="16">
        <v>0.5</v>
      </c>
      <c r="P119" s="16">
        <v>0.5</v>
      </c>
      <c r="Q119" s="16">
        <v>0.5</v>
      </c>
      <c r="R119" s="16">
        <v>0.5</v>
      </c>
      <c r="S119" s="16">
        <v>0.5</v>
      </c>
      <c r="T119" s="16">
        <v>0.5</v>
      </c>
      <c r="U119" s="16">
        <v>0.5</v>
      </c>
      <c r="V119" s="17">
        <v>0</v>
      </c>
      <c r="W119" s="16">
        <v>0</v>
      </c>
      <c r="X119" s="16">
        <v>0</v>
      </c>
    </row>
    <row r="120" spans="1:24" x14ac:dyDescent="0.3">
      <c r="A120" s="54"/>
      <c r="B120" s="50"/>
      <c r="C120" s="42" t="s">
        <v>127</v>
      </c>
      <c r="D120" s="42"/>
      <c r="E120" s="42" t="s">
        <v>39</v>
      </c>
      <c r="F120" s="42"/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  <c r="R120" s="16">
        <v>1</v>
      </c>
      <c r="S120" s="16">
        <v>1</v>
      </c>
      <c r="T120" s="16">
        <v>1</v>
      </c>
      <c r="U120" s="16">
        <v>1</v>
      </c>
      <c r="V120" s="17">
        <v>0</v>
      </c>
      <c r="W120" s="16">
        <v>0</v>
      </c>
      <c r="X120" s="16">
        <v>0</v>
      </c>
    </row>
    <row r="121" spans="1:24" x14ac:dyDescent="0.3">
      <c r="A121" s="54"/>
      <c r="B121" s="50"/>
      <c r="C121" s="42" t="s">
        <v>128</v>
      </c>
      <c r="D121" s="42"/>
      <c r="E121" s="42" t="s">
        <v>39</v>
      </c>
      <c r="F121" s="42"/>
      <c r="G121" s="16">
        <v>0.5</v>
      </c>
      <c r="H121" s="16">
        <v>0.5</v>
      </c>
      <c r="I121" s="16">
        <v>0.5</v>
      </c>
      <c r="J121" s="16">
        <v>0.5</v>
      </c>
      <c r="K121" s="16">
        <v>0.5</v>
      </c>
      <c r="L121" s="16">
        <v>0.5</v>
      </c>
      <c r="M121" s="16">
        <v>0.5</v>
      </c>
      <c r="N121" s="16">
        <v>0.5</v>
      </c>
      <c r="O121" s="16">
        <v>0.5</v>
      </c>
      <c r="P121" s="16">
        <v>0.5</v>
      </c>
      <c r="Q121" s="16">
        <v>0.5</v>
      </c>
      <c r="R121" s="16">
        <v>0.5</v>
      </c>
      <c r="S121" s="16">
        <v>0.5</v>
      </c>
      <c r="T121" s="16">
        <v>0.5</v>
      </c>
      <c r="U121" s="16">
        <v>0.5</v>
      </c>
      <c r="V121" s="17">
        <v>0</v>
      </c>
      <c r="W121" s="16">
        <v>0</v>
      </c>
      <c r="X121" s="16">
        <v>0</v>
      </c>
    </row>
    <row r="122" spans="1:24" x14ac:dyDescent="0.3">
      <c r="A122" s="54"/>
      <c r="B122" s="43" t="s">
        <v>18</v>
      </c>
      <c r="C122" s="42" t="s">
        <v>129</v>
      </c>
      <c r="D122" s="42"/>
      <c r="E122" s="42" t="s">
        <v>22</v>
      </c>
      <c r="F122" s="42"/>
      <c r="G122" s="16">
        <v>2</v>
      </c>
      <c r="H122" s="16">
        <v>2</v>
      </c>
      <c r="I122" s="16">
        <v>2</v>
      </c>
      <c r="J122" s="16">
        <v>2</v>
      </c>
      <c r="K122" s="16">
        <v>2</v>
      </c>
      <c r="L122" s="16">
        <v>2</v>
      </c>
      <c r="M122" s="16">
        <v>2</v>
      </c>
      <c r="N122" s="16">
        <v>2</v>
      </c>
      <c r="O122" s="16">
        <v>2</v>
      </c>
      <c r="P122" s="16">
        <v>2</v>
      </c>
      <c r="Q122" s="16">
        <v>2</v>
      </c>
      <c r="R122" s="16">
        <v>2</v>
      </c>
      <c r="S122" s="16">
        <v>2</v>
      </c>
      <c r="T122" s="16">
        <v>2</v>
      </c>
      <c r="U122" s="16">
        <v>2</v>
      </c>
      <c r="V122" s="16">
        <v>2</v>
      </c>
      <c r="W122" s="16">
        <v>2</v>
      </c>
      <c r="X122" s="17">
        <v>0</v>
      </c>
    </row>
    <row r="123" spans="1:24" x14ac:dyDescent="0.3">
      <c r="A123" s="54"/>
      <c r="B123" s="43"/>
      <c r="C123" s="42" t="s">
        <v>130</v>
      </c>
      <c r="D123" s="42"/>
      <c r="E123" s="42" t="s">
        <v>22</v>
      </c>
      <c r="F123" s="42"/>
      <c r="G123" s="16">
        <v>2</v>
      </c>
      <c r="H123" s="16">
        <v>2</v>
      </c>
      <c r="I123" s="16">
        <v>2</v>
      </c>
      <c r="J123" s="16">
        <v>2</v>
      </c>
      <c r="K123" s="16">
        <v>2</v>
      </c>
      <c r="L123" s="16">
        <v>2</v>
      </c>
      <c r="M123" s="16">
        <v>2</v>
      </c>
      <c r="N123" s="16">
        <v>2</v>
      </c>
      <c r="O123" s="16">
        <v>2</v>
      </c>
      <c r="P123" s="16">
        <v>2</v>
      </c>
      <c r="Q123" s="16">
        <v>2</v>
      </c>
      <c r="R123" s="16">
        <v>2</v>
      </c>
      <c r="S123" s="16">
        <v>2</v>
      </c>
      <c r="T123" s="16">
        <v>2</v>
      </c>
      <c r="U123" s="16">
        <v>2</v>
      </c>
      <c r="V123" s="16">
        <v>2</v>
      </c>
      <c r="W123" s="16">
        <v>2</v>
      </c>
      <c r="X123" s="17">
        <v>0</v>
      </c>
    </row>
    <row r="124" spans="1:24" x14ac:dyDescent="0.3">
      <c r="A124" s="54"/>
      <c r="B124" s="51" t="s">
        <v>11</v>
      </c>
      <c r="C124" s="51"/>
      <c r="D124" s="51"/>
      <c r="E124" s="52" t="s">
        <v>131</v>
      </c>
      <c r="F124" s="42"/>
      <c r="G124" s="43">
        <f>SUM(G16:G123)</f>
        <v>149</v>
      </c>
      <c r="H124" s="43"/>
      <c r="I124" s="16">
        <f>SUM(I16:I123)-J19</f>
        <v>147</v>
      </c>
      <c r="J124" s="16">
        <f>SUM(J16:J123)</f>
        <v>142</v>
      </c>
      <c r="K124" s="16">
        <f>SUM(K16:K123)+L31</f>
        <v>133</v>
      </c>
      <c r="L124" s="16">
        <f>SUM(L16:L123)-M37</f>
        <v>125</v>
      </c>
      <c r="M124" s="16">
        <f>SUM(M16:M123)</f>
        <v>118</v>
      </c>
      <c r="N124" s="16">
        <f>SUM(N16:N123)</f>
        <v>104</v>
      </c>
      <c r="O124" s="16">
        <f>SUM(O16:O123)+P61-P64</f>
        <v>93</v>
      </c>
      <c r="P124" s="16">
        <f>SUM(P16:P123)-P64+P61</f>
        <v>82</v>
      </c>
      <c r="Q124" s="16">
        <f>SUM(Q16:Q123)+Q69</f>
        <v>65</v>
      </c>
      <c r="R124" s="16">
        <f>SUM(R16:R123)-S93</f>
        <v>46</v>
      </c>
      <c r="S124" s="16">
        <f>SUM(S16:S123)-S93</f>
        <v>27</v>
      </c>
      <c r="T124" s="16">
        <f>SUM(T16:T123)</f>
        <v>12</v>
      </c>
      <c r="U124" s="16">
        <f>SUM(U16:U123)</f>
        <v>8</v>
      </c>
      <c r="V124" s="16">
        <f>SUM(V16:V123)</f>
        <v>4</v>
      </c>
      <c r="W124" s="16">
        <f>SUM(W16:W123)</f>
        <v>4</v>
      </c>
      <c r="X124" s="16">
        <f>SUM(X16:X123)</f>
        <v>0</v>
      </c>
    </row>
    <row r="125" spans="1:24" x14ac:dyDescent="0.3">
      <c r="A125" s="54"/>
      <c r="B125" s="51"/>
      <c r="C125" s="51"/>
      <c r="D125" s="51"/>
      <c r="E125" s="52" t="s">
        <v>132</v>
      </c>
      <c r="F125" s="52"/>
      <c r="G125" s="43">
        <f>SUM(H16:H123)</f>
        <v>150</v>
      </c>
      <c r="H125" s="43"/>
      <c r="I125" s="16">
        <f>SUM(I16:I123)</f>
        <v>150</v>
      </c>
      <c r="J125" s="16">
        <f t="shared" ref="J125:X125" si="0">SUM(J16:J123)</f>
        <v>142</v>
      </c>
      <c r="K125" s="16">
        <f t="shared" si="0"/>
        <v>131</v>
      </c>
      <c r="L125" s="16">
        <f t="shared" si="0"/>
        <v>126</v>
      </c>
      <c r="M125" s="16">
        <f t="shared" si="0"/>
        <v>118</v>
      </c>
      <c r="N125" s="16">
        <f t="shared" si="0"/>
        <v>104</v>
      </c>
      <c r="O125" s="16">
        <f t="shared" si="0"/>
        <v>92</v>
      </c>
      <c r="P125" s="16">
        <f t="shared" si="0"/>
        <v>81</v>
      </c>
      <c r="Q125" s="16">
        <f t="shared" si="0"/>
        <v>64</v>
      </c>
      <c r="R125" s="16">
        <f t="shared" si="0"/>
        <v>47</v>
      </c>
      <c r="S125" s="16">
        <f t="shared" si="0"/>
        <v>28</v>
      </c>
      <c r="T125" s="16">
        <f t="shared" si="0"/>
        <v>12</v>
      </c>
      <c r="U125" s="16">
        <f t="shared" si="0"/>
        <v>8</v>
      </c>
      <c r="V125" s="16">
        <f t="shared" si="0"/>
        <v>4</v>
      </c>
      <c r="W125" s="16">
        <f t="shared" si="0"/>
        <v>4</v>
      </c>
      <c r="X125" s="16">
        <f t="shared" si="0"/>
        <v>0</v>
      </c>
    </row>
  </sheetData>
  <mergeCells count="237">
    <mergeCell ref="A1:B1"/>
    <mergeCell ref="A2:B2"/>
    <mergeCell ref="A3:B3"/>
    <mergeCell ref="A4:B4"/>
    <mergeCell ref="B6:E6"/>
    <mergeCell ref="B13:C13"/>
    <mergeCell ref="C15:D15"/>
    <mergeCell ref="E15:F15"/>
    <mergeCell ref="A16:A125"/>
    <mergeCell ref="B16:D16"/>
    <mergeCell ref="E16:F16"/>
    <mergeCell ref="B17:D17"/>
    <mergeCell ref="E17:F17"/>
    <mergeCell ref="B18:D18"/>
    <mergeCell ref="E18:F18"/>
    <mergeCell ref="C19:D19"/>
    <mergeCell ref="C24:D24"/>
    <mergeCell ref="E24:F24"/>
    <mergeCell ref="C25:D25"/>
    <mergeCell ref="E25:F25"/>
    <mergeCell ref="C26:D26"/>
    <mergeCell ref="E26:F26"/>
    <mergeCell ref="E19:F19"/>
    <mergeCell ref="B20:B32"/>
    <mergeCell ref="C20:D20"/>
    <mergeCell ref="E20:F20"/>
    <mergeCell ref="C21:D21"/>
    <mergeCell ref="E21:F21"/>
    <mergeCell ref="C22:D22"/>
    <mergeCell ref="E22:F22"/>
    <mergeCell ref="C23:D23"/>
    <mergeCell ref="E23:F23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41:D41"/>
    <mergeCell ref="E41:F41"/>
    <mergeCell ref="C42:D42"/>
    <mergeCell ref="E42:F42"/>
    <mergeCell ref="C43:D43"/>
    <mergeCell ref="E43:F43"/>
    <mergeCell ref="E37:F37"/>
    <mergeCell ref="C38:D38"/>
    <mergeCell ref="E38:F38"/>
    <mergeCell ref="C39:D39"/>
    <mergeCell ref="E39:F39"/>
    <mergeCell ref="C40:D40"/>
    <mergeCell ref="E40:F40"/>
    <mergeCell ref="C37:D37"/>
    <mergeCell ref="C44:D44"/>
    <mergeCell ref="E44:F44"/>
    <mergeCell ref="C45:D45"/>
    <mergeCell ref="E45:F45"/>
    <mergeCell ref="B46:B84"/>
    <mergeCell ref="C46:D46"/>
    <mergeCell ref="E46:F46"/>
    <mergeCell ref="C47:D47"/>
    <mergeCell ref="E47:F47"/>
    <mergeCell ref="C48:D48"/>
    <mergeCell ref="B33:B45"/>
    <mergeCell ref="C33:D33"/>
    <mergeCell ref="E33:F33"/>
    <mergeCell ref="C34:D34"/>
    <mergeCell ref="E34:F34"/>
    <mergeCell ref="C35:D35"/>
    <mergeCell ref="E35:F35"/>
    <mergeCell ref="C36:D36"/>
    <mergeCell ref="E36:F36"/>
    <mergeCell ref="C52:D52"/>
    <mergeCell ref="E52:F52"/>
    <mergeCell ref="C53:D53"/>
    <mergeCell ref="E53:F53"/>
    <mergeCell ref="C54:D54"/>
    <mergeCell ref="E54:F54"/>
    <mergeCell ref="E48:F48"/>
    <mergeCell ref="C49:D49"/>
    <mergeCell ref="E49:F49"/>
    <mergeCell ref="C50:D50"/>
    <mergeCell ref="E50:F50"/>
    <mergeCell ref="C51:D51"/>
    <mergeCell ref="E51:F51"/>
    <mergeCell ref="C58:D58"/>
    <mergeCell ref="E58:F58"/>
    <mergeCell ref="C59:D59"/>
    <mergeCell ref="E59:F59"/>
    <mergeCell ref="C60:D60"/>
    <mergeCell ref="E60:F60"/>
    <mergeCell ref="C55:D55"/>
    <mergeCell ref="E55:F55"/>
    <mergeCell ref="C56:D56"/>
    <mergeCell ref="E56:F56"/>
    <mergeCell ref="C57:D57"/>
    <mergeCell ref="E57:F57"/>
    <mergeCell ref="C64:D64"/>
    <mergeCell ref="E64:F64"/>
    <mergeCell ref="C65:D65"/>
    <mergeCell ref="E65:F65"/>
    <mergeCell ref="C66:D66"/>
    <mergeCell ref="E66:F66"/>
    <mergeCell ref="C61:D61"/>
    <mergeCell ref="E61:F61"/>
    <mergeCell ref="C62:D62"/>
    <mergeCell ref="E62:F62"/>
    <mergeCell ref="C63:D63"/>
    <mergeCell ref="E63:F63"/>
    <mergeCell ref="C70:D70"/>
    <mergeCell ref="E70:F70"/>
    <mergeCell ref="C71:D71"/>
    <mergeCell ref="E71:F71"/>
    <mergeCell ref="C72:D72"/>
    <mergeCell ref="E72:F72"/>
    <mergeCell ref="C67:D67"/>
    <mergeCell ref="E67:F67"/>
    <mergeCell ref="C68:D68"/>
    <mergeCell ref="E68:F68"/>
    <mergeCell ref="C69:D69"/>
    <mergeCell ref="E69:F69"/>
    <mergeCell ref="C76:D76"/>
    <mergeCell ref="E76:F76"/>
    <mergeCell ref="C77:D77"/>
    <mergeCell ref="E77:F77"/>
    <mergeCell ref="C78:D78"/>
    <mergeCell ref="E78:F78"/>
    <mergeCell ref="C73:D73"/>
    <mergeCell ref="E73:F73"/>
    <mergeCell ref="C74:D74"/>
    <mergeCell ref="E74:F74"/>
    <mergeCell ref="C75:D75"/>
    <mergeCell ref="E75:F75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  <mergeCell ref="E89:F89"/>
    <mergeCell ref="C90:D90"/>
    <mergeCell ref="E90:F90"/>
    <mergeCell ref="C91:D91"/>
    <mergeCell ref="E91:F91"/>
    <mergeCell ref="C92:D92"/>
    <mergeCell ref="E92:F92"/>
    <mergeCell ref="B85:B97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B98:B109"/>
    <mergeCell ref="C98:D98"/>
    <mergeCell ref="E98:F98"/>
    <mergeCell ref="C99:D99"/>
    <mergeCell ref="E99:F99"/>
    <mergeCell ref="C100:D100"/>
    <mergeCell ref="C93:D93"/>
    <mergeCell ref="E93:F93"/>
    <mergeCell ref="C94:D94"/>
    <mergeCell ref="E94:F94"/>
    <mergeCell ref="C95:D95"/>
    <mergeCell ref="E95:F95"/>
    <mergeCell ref="E100:F100"/>
    <mergeCell ref="C101:D101"/>
    <mergeCell ref="E101:F101"/>
    <mergeCell ref="C102:D102"/>
    <mergeCell ref="E102:F102"/>
    <mergeCell ref="C103:D103"/>
    <mergeCell ref="E103:F103"/>
    <mergeCell ref="C96:D96"/>
    <mergeCell ref="E96:F96"/>
    <mergeCell ref="C97:D97"/>
    <mergeCell ref="E97:F97"/>
    <mergeCell ref="C107:D107"/>
    <mergeCell ref="E107:F107"/>
    <mergeCell ref="C108:D108"/>
    <mergeCell ref="E108:F108"/>
    <mergeCell ref="C109:D109"/>
    <mergeCell ref="E109:F109"/>
    <mergeCell ref="C104:D104"/>
    <mergeCell ref="E104:F104"/>
    <mergeCell ref="C105:D105"/>
    <mergeCell ref="E105:F105"/>
    <mergeCell ref="C106:D106"/>
    <mergeCell ref="E106:F106"/>
    <mergeCell ref="C118:D118"/>
    <mergeCell ref="E118:F118"/>
    <mergeCell ref="C119:D119"/>
    <mergeCell ref="E119:F119"/>
    <mergeCell ref="C120:D120"/>
    <mergeCell ref="E120:F120"/>
    <mergeCell ref="E114:F114"/>
    <mergeCell ref="C115:D115"/>
    <mergeCell ref="E115:F115"/>
    <mergeCell ref="C116:D116"/>
    <mergeCell ref="E116:F116"/>
    <mergeCell ref="C117:D117"/>
    <mergeCell ref="E117:F117"/>
    <mergeCell ref="C114:D114"/>
    <mergeCell ref="B124:D125"/>
    <mergeCell ref="E124:F124"/>
    <mergeCell ref="G124:H124"/>
    <mergeCell ref="E125:F125"/>
    <mergeCell ref="G125:H125"/>
    <mergeCell ref="C121:D121"/>
    <mergeCell ref="E121:F121"/>
    <mergeCell ref="B122:B123"/>
    <mergeCell ref="C122:D122"/>
    <mergeCell ref="E122:F122"/>
    <mergeCell ref="C123:D123"/>
    <mergeCell ref="E123:F123"/>
    <mergeCell ref="B110:B121"/>
    <mergeCell ref="C110:D110"/>
    <mergeCell ref="E110:F110"/>
    <mergeCell ref="C111:D111"/>
    <mergeCell ref="E111:F111"/>
    <mergeCell ref="C112:D112"/>
    <mergeCell ref="E112:F112"/>
    <mergeCell ref="C113:D113"/>
    <mergeCell ref="E113:F1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O10" sqref="O10"/>
    </sheetView>
  </sheetViews>
  <sheetFormatPr defaultRowHeight="14.4" x14ac:dyDescent="0.3"/>
  <cols>
    <col min="2" max="11" width="10" customWidth="1"/>
  </cols>
  <sheetData>
    <row r="1" spans="1:11" ht="16.8" x14ac:dyDescent="0.3">
      <c r="A1" s="36" t="s">
        <v>25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ht="16.8" x14ac:dyDescent="0.3">
      <c r="A2" s="39"/>
      <c r="B2" s="40" t="s">
        <v>37</v>
      </c>
      <c r="C2" s="40"/>
      <c r="D2" s="40" t="s">
        <v>54</v>
      </c>
      <c r="E2" s="40"/>
      <c r="F2" s="40" t="s">
        <v>39</v>
      </c>
      <c r="G2" s="40"/>
      <c r="H2" s="40" t="s">
        <v>53</v>
      </c>
      <c r="I2" s="40"/>
      <c r="J2" s="40" t="s">
        <v>133</v>
      </c>
      <c r="K2" s="41"/>
    </row>
    <row r="3" spans="1:11" ht="16.8" x14ac:dyDescent="0.3">
      <c r="A3" s="39"/>
      <c r="B3" s="20" t="s">
        <v>10</v>
      </c>
      <c r="C3" s="20" t="s">
        <v>23</v>
      </c>
      <c r="D3" s="20" t="s">
        <v>10</v>
      </c>
      <c r="E3" s="20" t="s">
        <v>23</v>
      </c>
      <c r="F3" s="20" t="s">
        <v>10</v>
      </c>
      <c r="G3" s="20" t="s">
        <v>23</v>
      </c>
      <c r="H3" s="20" t="s">
        <v>10</v>
      </c>
      <c r="I3" s="20" t="s">
        <v>23</v>
      </c>
      <c r="J3" s="20" t="s">
        <v>10</v>
      </c>
      <c r="K3" s="21" t="s">
        <v>23</v>
      </c>
    </row>
    <row r="4" spans="1:11" ht="16.8" x14ac:dyDescent="0.3">
      <c r="A4" s="24" t="s">
        <v>4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6.8" x14ac:dyDescent="0.3">
      <c r="A5" s="24" t="s">
        <v>19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6.8" x14ac:dyDescent="0.3">
      <c r="A6" s="24" t="s">
        <v>20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7.399999999999999" thickBot="1" x14ac:dyDescent="0.35">
      <c r="A7" s="25" t="s">
        <v>11</v>
      </c>
      <c r="B7" s="23">
        <f>SUM(B4:B6)</f>
        <v>0</v>
      </c>
      <c r="C7" s="23">
        <f t="shared" ref="C7:K7" si="0">SUM(C4:C6)</f>
        <v>0</v>
      </c>
      <c r="D7" s="23">
        <f t="shared" si="0"/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</row>
    <row r="9" spans="1:11" ht="15" thickBot="1" x14ac:dyDescent="0.35"/>
    <row r="10" spans="1:11" ht="16.8" x14ac:dyDescent="0.3">
      <c r="E10" s="34" t="s">
        <v>26</v>
      </c>
      <c r="F10" s="35"/>
    </row>
    <row r="11" spans="1:11" ht="16.8" x14ac:dyDescent="0.3">
      <c r="E11" s="26" t="s">
        <v>10</v>
      </c>
      <c r="F11" s="27">
        <f>SUMIF($B$3:$K$3,"Thực tế",$B$7:$K$7)</f>
        <v>0</v>
      </c>
    </row>
    <row r="12" spans="1:11" ht="17.399999999999999" thickBot="1" x14ac:dyDescent="0.35">
      <c r="E12" s="28" t="s">
        <v>23</v>
      </c>
      <c r="F12" s="29">
        <f>SUMIF($B$3:$K$3,"Ước tính",$B$7:$K$7)</f>
        <v>0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Mark Wilson</cp:lastModifiedBy>
  <dcterms:created xsi:type="dcterms:W3CDTF">2021-04-23T08:05:10Z</dcterms:created>
  <dcterms:modified xsi:type="dcterms:W3CDTF">2026-04-06T07:36:11Z</dcterms:modified>
</cp:coreProperties>
</file>