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KLTN\"/>
    </mc:Choice>
  </mc:AlternateContent>
  <xr:revisionPtr revIDLastSave="0" documentId="13_ncr:1_{7EB3070A-7D5A-473F-8E7B-F25D93A5A1A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print 1" sheetId="1" r:id="rId1"/>
    <sheet name="Sprint 2" sheetId="2" r:id="rId2"/>
    <sheet name="Sprint 3" sheetId="5" r:id="rId3"/>
    <sheet name="Tot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9" i="5" l="1"/>
  <c r="R129" i="5"/>
  <c r="Q129" i="5"/>
  <c r="P129" i="5"/>
  <c r="O129" i="5"/>
  <c r="N129" i="5"/>
  <c r="M129" i="5"/>
  <c r="L129" i="5"/>
  <c r="K129" i="5"/>
  <c r="J129" i="5"/>
  <c r="I129" i="5"/>
  <c r="E12" i="5" a="1"/>
  <c r="E12" i="5" s="1"/>
  <c r="K6" i="4" s="1"/>
  <c r="D12" i="5" a="1"/>
  <c r="D12" i="5" s="1"/>
  <c r="J6" i="4" s="1"/>
  <c r="E9" i="5" a="1"/>
  <c r="E9" i="5" s="1"/>
  <c r="E6" i="4" s="1"/>
  <c r="D9" i="5" a="1"/>
  <c r="D9" i="5" s="1"/>
  <c r="D6" i="4" s="1"/>
  <c r="E10" i="5" a="1"/>
  <c r="E10" i="5" s="1"/>
  <c r="G6" i="4" s="1"/>
  <c r="D10" i="5" a="1"/>
  <c r="D10" i="5" s="1"/>
  <c r="F6" i="4" s="1"/>
  <c r="E11" i="5" a="1"/>
  <c r="E11" i="5" s="1"/>
  <c r="I6" i="4" s="1"/>
  <c r="D11" i="5" a="1"/>
  <c r="D11" i="5" s="1"/>
  <c r="H6" i="4" s="1"/>
  <c r="E8" i="5" a="1"/>
  <c r="E8" i="5" s="1"/>
  <c r="C6" i="4" s="1"/>
  <c r="D8" i="5" a="1"/>
  <c r="D8" i="5" s="1"/>
  <c r="B6" i="4" s="1"/>
  <c r="I130" i="5"/>
  <c r="G130" i="5"/>
  <c r="G129" i="5"/>
  <c r="E12" i="2"/>
  <c r="K5" i="4" s="1"/>
  <c r="D12" i="2"/>
  <c r="J5" i="4" s="1"/>
  <c r="G73" i="2"/>
  <c r="G72" i="2"/>
  <c r="D8" i="2"/>
  <c r="E11" i="2"/>
  <c r="I5" i="4" s="1"/>
  <c r="D11" i="2"/>
  <c r="H5" i="4" s="1"/>
  <c r="E9" i="2"/>
  <c r="E5" i="4" s="1"/>
  <c r="D9" i="2"/>
  <c r="D5" i="4" s="1"/>
  <c r="E8" i="2"/>
  <c r="C5" i="4" s="1"/>
  <c r="R72" i="2"/>
  <c r="Q72" i="2"/>
  <c r="P72" i="2"/>
  <c r="O72" i="2"/>
  <c r="N72" i="2"/>
  <c r="M72" i="2"/>
  <c r="L72" i="2"/>
  <c r="K72" i="2"/>
  <c r="J72" i="2"/>
  <c r="I72" i="2"/>
  <c r="S126" i="1"/>
  <c r="R126" i="1"/>
  <c r="Q126" i="1"/>
  <c r="P126" i="1"/>
  <c r="O126" i="1"/>
  <c r="N126" i="1"/>
  <c r="M126" i="1"/>
  <c r="L126" i="1"/>
  <c r="K126" i="1"/>
  <c r="J126" i="1"/>
  <c r="I126" i="1"/>
  <c r="T129" i="5"/>
  <c r="U129" i="5"/>
  <c r="V129" i="5"/>
  <c r="W129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W72" i="2"/>
  <c r="V72" i="2"/>
  <c r="U72" i="2"/>
  <c r="T72" i="2"/>
  <c r="S72" i="2"/>
  <c r="E10" i="2"/>
  <c r="G5" i="4" s="1"/>
  <c r="D10" i="2"/>
  <c r="F5" i="4" s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G127" i="1"/>
  <c r="X126" i="1"/>
  <c r="W126" i="1"/>
  <c r="V126" i="1"/>
  <c r="U126" i="1"/>
  <c r="T126" i="1"/>
  <c r="G126" i="1"/>
  <c r="E12" i="1"/>
  <c r="K4" i="4" s="1"/>
  <c r="D12" i="1"/>
  <c r="J4" i="4" s="1"/>
  <c r="E11" i="1"/>
  <c r="I4" i="4" s="1"/>
  <c r="D11" i="1"/>
  <c r="H4" i="4" s="1"/>
  <c r="E10" i="1"/>
  <c r="G4" i="4" s="1"/>
  <c r="D10" i="1"/>
  <c r="F4" i="4" s="1"/>
  <c r="E9" i="1"/>
  <c r="E4" i="4" s="1"/>
  <c r="D9" i="1"/>
  <c r="D4" i="4" s="1"/>
  <c r="E8" i="1"/>
  <c r="D8" i="1"/>
  <c r="B4" i="4" s="1"/>
  <c r="D13" i="2" l="1"/>
  <c r="B5" i="4"/>
  <c r="B7" i="4" s="1"/>
  <c r="E13" i="2"/>
  <c r="K7" i="4"/>
  <c r="G7" i="4"/>
  <c r="J7" i="4"/>
  <c r="I7" i="4"/>
  <c r="H7" i="4"/>
  <c r="F7" i="4"/>
  <c r="E7" i="4"/>
  <c r="C4" i="4"/>
  <c r="C7" i="4" s="1"/>
  <c r="D7" i="4"/>
  <c r="D13" i="5"/>
  <c r="E13" i="5"/>
  <c r="D13" i="1"/>
  <c r="E13" i="1"/>
  <c r="F12" i="4" l="1"/>
  <c r="F1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<sst xmlns="http://schemas.openxmlformats.org/spreadsheetml/2006/main" count="628" uniqueCount="280">
  <si>
    <t>Project name:</t>
  </si>
  <si>
    <t>XÂY DỰNG WEBSITE QUẢN LÝ NHÂN SỰ TÍCH HỢP CHẤM CÔNG THEO THỜI GIAN THỰC (GPS TRACKING)</t>
  </si>
  <si>
    <t>Kết thúc đúng hạn</t>
  </si>
  <si>
    <t>Module name:</t>
  </si>
  <si>
    <t>Sprint 1</t>
  </si>
  <si>
    <t>Muộn</t>
  </si>
  <si>
    <t>Start date:</t>
  </si>
  <si>
    <t>Trước thời hạn</t>
  </si>
  <si>
    <t>End date:</t>
  </si>
  <si>
    <t>SPRINT 1 REPORT</t>
  </si>
  <si>
    <t>No</t>
  </si>
  <si>
    <t>Thành viên</t>
  </si>
  <si>
    <t>Thực tế</t>
  </si>
  <si>
    <t>Ước tính</t>
  </si>
  <si>
    <t>Châu Ngọc Hội</t>
  </si>
  <si>
    <t>Lê Trường Giang</t>
  </si>
  <si>
    <t>Nguyễn Đặng Yến Nhi</t>
  </si>
  <si>
    <t>Trần Trọng Khang</t>
  </si>
  <si>
    <t>Trần Nguyễn Quốc Lĩnh</t>
  </si>
  <si>
    <t>Tổng</t>
  </si>
  <si>
    <t>Sprint</t>
  </si>
  <si>
    <t>Component</t>
  </si>
  <si>
    <t>Task name</t>
  </si>
  <si>
    <t>Responsible Member</t>
  </si>
  <si>
    <t>Họp kế hoạch Sprint 1</t>
  </si>
  <si>
    <t>All team</t>
  </si>
  <si>
    <t>Tạo Sprint Backlog 1</t>
  </si>
  <si>
    <t>Hội</t>
  </si>
  <si>
    <t>Tạo tài liệu kiểm thử cho Sprint 1</t>
  </si>
  <si>
    <t>User interface design</t>
  </si>
  <si>
    <t>Đăng nhập</t>
  </si>
  <si>
    <t>Lĩnh, Giang</t>
  </si>
  <si>
    <t>Đăng xuất</t>
  </si>
  <si>
    <t>Quên mật khẩu</t>
  </si>
  <si>
    <t>Quản lý thông tin cá nhân</t>
  </si>
  <si>
    <t>Nhận thông báo</t>
  </si>
  <si>
    <t>Theo dõi bảng điều khiển</t>
  </si>
  <si>
    <t>Quản lý nhân viên</t>
  </si>
  <si>
    <t>Quản lý tài khoản người dùng</t>
  </si>
  <si>
    <t>Quản lý phòng ban</t>
  </si>
  <si>
    <t>Quản lý chi nhánh</t>
  </si>
  <si>
    <t>Quản lý thông báo</t>
  </si>
  <si>
    <t>Quản lý chức vụ</t>
  </si>
  <si>
    <t>Design test case</t>
  </si>
  <si>
    <t>Nhi</t>
  </si>
  <si>
    <t>Khang</t>
  </si>
  <si>
    <t>Giang</t>
  </si>
  <si>
    <t>Coding</t>
  </si>
  <si>
    <t>Thiết kế Front-end Đăng nhập</t>
  </si>
  <si>
    <t>Hội, Giang</t>
  </si>
  <si>
    <t>Code Front-end Đăng nhập</t>
  </si>
  <si>
    <t>Code Back-end Đăng nhập</t>
  </si>
  <si>
    <t>Khang, Lĩnh</t>
  </si>
  <si>
    <t>Thiết kế Front-end Đăng xuất</t>
  </si>
  <si>
    <t>Code Front-end Đăng xuất</t>
  </si>
  <si>
    <t>Code Back-end Đăng xuất</t>
  </si>
  <si>
    <t>Thiết kế Front-end Quên mật khẩu</t>
  </si>
  <si>
    <t>Code Front-end Quên mật khẩu</t>
  </si>
  <si>
    <t>Code Back-end Quên mật khẩu</t>
  </si>
  <si>
    <t>Thiết kế Front-end Quản lý thông tin cá nhân</t>
  </si>
  <si>
    <t>Code Front-end Quản lý thông tin cá nhân</t>
  </si>
  <si>
    <t>Code Back-end Quản lý thông tin cá nhân</t>
  </si>
  <si>
    <t>Thiết kế Front-end Nhận thông báo</t>
  </si>
  <si>
    <t>Code Front-end Nhận thông báo</t>
  </si>
  <si>
    <t>Code Back-end Nhận thông báo</t>
  </si>
  <si>
    <t>Thiết kế Front-end Theo dõi bảng điều khiển</t>
  </si>
  <si>
    <t>Code Front-end Theo dõi bảng điều khiển</t>
  </si>
  <si>
    <t>Code Back-end Theo dõi bảng điều khiển</t>
  </si>
  <si>
    <t>Thiết kế Front-end Quản lý nhân viên</t>
  </si>
  <si>
    <t>Code Front-end Quản lý nhân viên</t>
  </si>
  <si>
    <t>Code Back-end Quản lý nhân viên</t>
  </si>
  <si>
    <t>Thiết kế Front-end Quản lý tài khoản người dùng</t>
  </si>
  <si>
    <t>Code Front-end Quản lý tài khoản người dùng</t>
  </si>
  <si>
    <t>Code Back-end Quản lý tài khoản người dùng</t>
  </si>
  <si>
    <t>Thiết kế Front-end Quản lý phòng ban</t>
  </si>
  <si>
    <t>Code Front-end Quản lý phòng ban</t>
  </si>
  <si>
    <t>Code Back-end Quản lý phòng ban</t>
  </si>
  <si>
    <t>Thiết kế Front-end Quản lý chi nhánh</t>
  </si>
  <si>
    <t>Code Front-end Quản lý chi nhánh</t>
  </si>
  <si>
    <t>Code Back-end Quản lý chi nhánh</t>
  </si>
  <si>
    <t>Thiết kế Front-end Quản lý thông báo</t>
  </si>
  <si>
    <t>Code Front-end Quản lý thông báo</t>
  </si>
  <si>
    <t>Code Back-end Quản lý thông báo</t>
  </si>
  <si>
    <t>Thiết kế Front-end Quản lý chức vụ</t>
  </si>
  <si>
    <t>Code Front-end Quản lý chức vụ</t>
  </si>
  <si>
    <t>Code Back-end Quản lý chức vụ</t>
  </si>
  <si>
    <t>Testing</t>
  </si>
  <si>
    <t>Kiểm tra Đăng nhập</t>
  </si>
  <si>
    <t>Kiểm tra Đăng xuất</t>
  </si>
  <si>
    <t>Kiểm tra Quên mật khẩu</t>
  </si>
  <si>
    <t>Kiểm tra Quản lý thông tin cá nhân</t>
  </si>
  <si>
    <t>Kiểm tra Nhận thông báo</t>
  </si>
  <si>
    <t>Kiểm tra Theo dõi bảng điều khiển</t>
  </si>
  <si>
    <t>Kiểm tra Quản lý nhân viên</t>
  </si>
  <si>
    <t>Kiểm tra Quản lý tài khoản người dùng</t>
  </si>
  <si>
    <t>Kiểm tra Quản lý phòng ban</t>
  </si>
  <si>
    <t>Kiểm tra Quản lý chi nhánh</t>
  </si>
  <si>
    <t>Kiểm tra Quản lý thông báo</t>
  </si>
  <si>
    <t>Kiểm tra Quản lý chức vụ</t>
  </si>
  <si>
    <t>Fix Bug</t>
  </si>
  <si>
    <t>Sửa lỗi Đăng nhập</t>
  </si>
  <si>
    <t>Sửa lỗi Đăng xuất</t>
  </si>
  <si>
    <t>Sửa lỗi Quên mật khẩu</t>
  </si>
  <si>
    <t>Sửa lỗi Quản lý thông tin cá nhân</t>
  </si>
  <si>
    <t>Lĩnh</t>
  </si>
  <si>
    <t>Sửa lỗi Nhận thông báo</t>
  </si>
  <si>
    <t>Sửa lỗi Theo dõi bảng điều khiển</t>
  </si>
  <si>
    <t>Sửa lỗi Quản lý nhân viên</t>
  </si>
  <si>
    <t>Sửa lỗi Quản lý tài khoản người dùng</t>
  </si>
  <si>
    <t>Sửa lỗi Quản lý phòng ban</t>
  </si>
  <si>
    <t>Sửa lỗi Quản lý chi nhánh</t>
  </si>
  <si>
    <t>Sửa lỗi Quản lý thông báo</t>
  </si>
  <si>
    <t>Sửa lỗi Quản lý chức vụ</t>
  </si>
  <si>
    <t>Re-testing</t>
  </si>
  <si>
    <t>Kiểm tra lại Đăng nhập</t>
  </si>
  <si>
    <t>Kiểm tra lại Đăng xuất</t>
  </si>
  <si>
    <t>Kiểm tra lại Quên mật khẩu</t>
  </si>
  <si>
    <t>Kiểm tra lại Quản lý thông tin cá nhân</t>
  </si>
  <si>
    <t>Kiểm tra lại Nhận thông báo</t>
  </si>
  <si>
    <t>Kiểm tra lại Theo dõi bảng điều khiển</t>
  </si>
  <si>
    <t>Kiểm tra lại Quản lý nhân viên</t>
  </si>
  <si>
    <t>Kiểm tra lại Quản lý tài khoản người dùng</t>
  </si>
  <si>
    <t>Kiểm tra lại Quản lý phòng ban</t>
  </si>
  <si>
    <t>Kiểm tra lại Quản lý chi nhánh</t>
  </si>
  <si>
    <t>Kiểm tra lại Quản lý thông báo</t>
  </si>
  <si>
    <t>Kiểm tra lại Quản lý chức vụ</t>
  </si>
  <si>
    <t>Release Sprint 1</t>
  </si>
  <si>
    <t>Sprint 1 Review Meeting</t>
  </si>
  <si>
    <t>Sprint 1 Retrospective</t>
  </si>
  <si>
    <t>Thực Tế</t>
  </si>
  <si>
    <t>Ước Tính</t>
  </si>
  <si>
    <t>Sprint 2</t>
  </si>
  <si>
    <t>Họp kế hoạch Sprint 2</t>
  </si>
  <si>
    <t>Tạo Sprint Backlog 2</t>
  </si>
  <si>
    <t>Tạo tài liệu kiểm thử cho Sprint 2</t>
  </si>
  <si>
    <t>Check-in chấm công</t>
  </si>
  <si>
    <t>Check-out chấm công</t>
  </si>
  <si>
    <t>Xem lịch sử chấm công</t>
  </si>
  <si>
    <t>Cài đặt khu vực chấm công</t>
  </si>
  <si>
    <t>Giám sát chấm công</t>
  </si>
  <si>
    <t>Thiết kế Front-end Check-in chấm công</t>
  </si>
  <si>
    <t>Code Front-end Check-in chấm công</t>
  </si>
  <si>
    <t>Code Back-end Check-in chấm công</t>
  </si>
  <si>
    <t>Thiết kế Front-end Check-out chấm công</t>
  </si>
  <si>
    <t>Code Front-end Check-out chấm công</t>
  </si>
  <si>
    <t>Code Back-end Check-out chấm công</t>
  </si>
  <si>
    <t>Thiết kế Front-end Xem lịch sử chấm công</t>
  </si>
  <si>
    <t>Code Front-end Xem lịch sử chấm công</t>
  </si>
  <si>
    <t>Code Back-end Xem lịch sử chấm công</t>
  </si>
  <si>
    <t>Thiết kế Front-end Cài đặt khu vực chấm công</t>
  </si>
  <si>
    <t>Code Front-end Cài đặt khu vực chấm công</t>
  </si>
  <si>
    <t>Code Back-end Cài đặt khu vực chấm công</t>
  </si>
  <si>
    <t>Thiết kế Front-end Giám sát chấm công</t>
  </si>
  <si>
    <t>Code Front-end Giám sát chấm công</t>
  </si>
  <si>
    <t>Code Back-end Giám sát chấm công</t>
  </si>
  <si>
    <t>Kiểm tra Check-in chấm công</t>
  </si>
  <si>
    <t>Kiểm tra Check-out chấm công</t>
  </si>
  <si>
    <t>Kiểm tra Xem lịch sử chấm công</t>
  </si>
  <si>
    <t>Kiểm tra Cài đặt khu vực chấm công</t>
  </si>
  <si>
    <t>Kiểm tra Giám sát chấm công</t>
  </si>
  <si>
    <t>Sửa lỗi Check-in chấm công</t>
  </si>
  <si>
    <t>Hội, Khang, Lĩnh, Giang</t>
  </si>
  <si>
    <t>Sửa lỗi Check-out chấm công</t>
  </si>
  <si>
    <t>Sửa lỗi Xem lịch sử chấm công</t>
  </si>
  <si>
    <t>Sửa lỗi Cài đặt khu vực chấm công</t>
  </si>
  <si>
    <t>Sửa lỗi Giám sát chấm công</t>
  </si>
  <si>
    <t>Kiểm tra lại Check-in chấm công</t>
  </si>
  <si>
    <t>Kiểm tra lại Check-out chấm công</t>
  </si>
  <si>
    <t>Kiểm tra lại Xem lịch sử chấm công</t>
  </si>
  <si>
    <t>Kiểm tra lại Cài đặt khu vực chấm công</t>
  </si>
  <si>
    <t>Kiểm tra lại Giám sát chấm công</t>
  </si>
  <si>
    <t>Release Sprint 2</t>
  </si>
  <si>
    <t>Sprint 2 Review Meeting</t>
  </si>
  <si>
    <t>Sprint 2 Retrospective</t>
  </si>
  <si>
    <t>SPRINT BACKLOG REPORT</t>
  </si>
  <si>
    <t>Sprint 3</t>
  </si>
  <si>
    <t>FINAL TOTAL</t>
  </si>
  <si>
    <t>Sprint 3 Retrospective</t>
  </si>
  <si>
    <t>Sprint 3 Review Meeting</t>
  </si>
  <si>
    <t>Release Sprint 3</t>
  </si>
  <si>
    <t>Kiểm tra lại Quản lý khen thưởng &amp; kỷ luật</t>
  </si>
  <si>
    <t>Kiểm tra lại Quản lý hợp đồng lao động</t>
  </si>
  <si>
    <t>Kiểm tra lại Xét duyệt cuối</t>
  </si>
  <si>
    <t>Kiểm tra lại Tính lương</t>
  </si>
  <si>
    <t>Kiểm tra lại Thống kê</t>
  </si>
  <si>
    <t>Kiểm tra lại Phê duyệt đơn từ</t>
  </si>
  <si>
    <t>Kiểm tra lại Xem bảng lương</t>
  </si>
  <si>
    <t>Kiểm tra lại Xem lịch sử gửi đơn</t>
  </si>
  <si>
    <t>Kiểm tra lại Tạo đơn trực tuyến</t>
  </si>
  <si>
    <t>Sửa lỗi Quản lý khen thưởng &amp; kỷ luật</t>
  </si>
  <si>
    <t>Sửa lỗi Quản lý hợp đồng lao động</t>
  </si>
  <si>
    <t>Sửa lỗi Xét duyệt cuối</t>
  </si>
  <si>
    <t>Sửa lỗi Tính lương</t>
  </si>
  <si>
    <t>Sửa lỗi Thống kê</t>
  </si>
  <si>
    <t>Sửa lỗi Phê duyệt đơn từ</t>
  </si>
  <si>
    <t>Sửa lỗi Xem bảng lương</t>
  </si>
  <si>
    <t>Sửa lỗi Xem lịch sử gửi đơn</t>
  </si>
  <si>
    <t>Sửa lỗi Tạo đơn trực tuyến</t>
  </si>
  <si>
    <t>Kiểm tra Quản lý khen thưởng &amp; kỷ luật</t>
  </si>
  <si>
    <t>Kiểm tra Quản lý hợp đồng lao động</t>
  </si>
  <si>
    <t>Kiểm tra Xét duyệt cuối</t>
  </si>
  <si>
    <t>Kiểm tra Tính lương</t>
  </si>
  <si>
    <t>Kiểm tra Thống kê</t>
  </si>
  <si>
    <t>Kiểm tra Phê duyệt đơn từ</t>
  </si>
  <si>
    <t>Kiểm tra Xem bảng lương</t>
  </si>
  <si>
    <t>Kiểm tra Xem lịch sử gửi đơn</t>
  </si>
  <si>
    <t>Kiểm tra Tạo đơn trực tuyến</t>
  </si>
  <si>
    <t>Code Back-end Quản lý khen thưởng &amp; kỷ luật</t>
  </si>
  <si>
    <t>Code Front-end Quản lý khen thưởng &amp; kỷ luật</t>
  </si>
  <si>
    <t>Thiết kế Front-end Quản lý khen thưởng &amp; kỷ luật</t>
  </si>
  <si>
    <t>Code Back-end Quản lý hợp đồng lao động</t>
  </si>
  <si>
    <t>Code Front-end Quản lý hợp đồng lao động</t>
  </si>
  <si>
    <t>Thiết kế Front-end Quản lý hợp đồng lao động</t>
  </si>
  <si>
    <t>Code Back-end Xét duyệt cuối</t>
  </si>
  <si>
    <t>Code Front-end Xét duyệt cuối</t>
  </si>
  <si>
    <t>Thiết kế Front-end Xét duyệt cuối</t>
  </si>
  <si>
    <t>Code Back-end Tính lương</t>
  </si>
  <si>
    <t>Code Front-end Tính lương</t>
  </si>
  <si>
    <t>Thiết kế Front-end Tính lương</t>
  </si>
  <si>
    <t>Code Back-end Thống kê</t>
  </si>
  <si>
    <t>Code Front-end Thống kê</t>
  </si>
  <si>
    <t>Thiết kế Front-end Thống kê</t>
  </si>
  <si>
    <t>Code Back-end Phê duyệt đơn từ</t>
  </si>
  <si>
    <t>Code Front-end Phê duyệt đơn từ</t>
  </si>
  <si>
    <t>Thiết kế Front-end Phê duyệt đơn từ</t>
  </si>
  <si>
    <t>Code Back-end Xem bảng lương</t>
  </si>
  <si>
    <t>Code Front-end Xem bảng lương</t>
  </si>
  <si>
    <t>Thiết kế Front-end Xem bảng lương</t>
  </si>
  <si>
    <t>Code Back-end Xem lịch sử gửi đơn</t>
  </si>
  <si>
    <t>Code Front-end Xem lịch sử gửi đơn</t>
  </si>
  <si>
    <t>Thiết kế Front-end Xem lịch sử gửi đơn</t>
  </si>
  <si>
    <t>Code Back-end Tạo đơn trực tuyến</t>
  </si>
  <si>
    <t>Code Front-end Tạo đơn trực tuyến</t>
  </si>
  <si>
    <t>Thiết kế Front-end Tạo đơn trực tuyến</t>
  </si>
  <si>
    <t>Thiết kế test case Quản lý khen thưởng &amp; kỷ luật</t>
  </si>
  <si>
    <t>Thiết kế test case Quản lý hợp đồng lao động</t>
  </si>
  <si>
    <t>Thiết kế test case Xét duyệt cuối</t>
  </si>
  <si>
    <t>Thiết kế test case Tính lương</t>
  </si>
  <si>
    <t>Thiết kế test case Thống kê</t>
  </si>
  <si>
    <t>Thiết kế test case Phê duyệt đơn từ</t>
  </si>
  <si>
    <t>Thiết kế test case Xem bảng lương</t>
  </si>
  <si>
    <t>Thiết kế test case Xem lịch sử gửi đơn</t>
  </si>
  <si>
    <t>Thiết kế test case Tạo đơn trực tuyến</t>
  </si>
  <si>
    <t>Thiết kế user interface Quản lý khen thưởng &amp; kỷ luật</t>
  </si>
  <si>
    <t>Thiết kế user interface Quản lý hợp đồng lao động</t>
  </si>
  <si>
    <t>Thiết kế user interface Xét duyệt cuối</t>
  </si>
  <si>
    <t>Thiết kế user interface Tính lương</t>
  </si>
  <si>
    <t>Thiết kế user interface Thống kê</t>
  </si>
  <si>
    <t>Thiết kế user interface Phê duyệt đơn từ</t>
  </si>
  <si>
    <t>Thiết kế user interface Xem bảng lương</t>
  </si>
  <si>
    <t>Thiết kế user interface Xem lịch sử gửi đơn</t>
  </si>
  <si>
    <t>Tạo tài liệu kiểm thử cho Sprint 3</t>
  </si>
  <si>
    <t>Tạo Sprint Backlog 3</t>
  </si>
  <si>
    <t>Họp kế hoạch Sprint 3</t>
  </si>
  <si>
    <t>SPRINT 3 REPORT</t>
  </si>
  <si>
    <t>Thiết kế user interface HR Chatbot</t>
  </si>
  <si>
    <t>Thiết kế user interface AI Dự báo nhân sự</t>
  </si>
  <si>
    <t>Thiết kế user interface Đề xuất khen thưởng kỷ luật</t>
  </si>
  <si>
    <t>Thiết kế test case AI Dự báo nhân sự</t>
  </si>
  <si>
    <t>Thiết kế test case HR Chatbot</t>
  </si>
  <si>
    <t>Thiết kế test case Đề xuất khen thưởng kỷ luật</t>
  </si>
  <si>
    <t>Thiết kế Front-end HR Chatbot</t>
  </si>
  <si>
    <t>Code Front-end HR Chatbot</t>
  </si>
  <si>
    <t>Code Back-end HR Chatbot</t>
  </si>
  <si>
    <t>Thiết kế Front-end AI Dự báo nhân sự</t>
  </si>
  <si>
    <t>Code Front-end AI Dự báo nhân sự</t>
  </si>
  <si>
    <t>Code Back-end AI Dự báo nhân sự</t>
  </si>
  <si>
    <t>Thiết kế Front-end Đề xuất khen thưởng kỷ luật</t>
  </si>
  <si>
    <t>Code Front-end Đề xuất khen thưởng kỷ luật</t>
  </si>
  <si>
    <t>Code Back-end Đề xuất khen thưởng kỷ luật</t>
  </si>
  <si>
    <t>Kiểm tra HR Chatbot</t>
  </si>
  <si>
    <t>Kiểm tra AI Dự báo nhân sự</t>
  </si>
  <si>
    <t>Kiểm tra Đề xuất khen thưởng kỷ luật</t>
  </si>
  <si>
    <t>Sửa lỗi HR Chatbot</t>
  </si>
  <si>
    <t>Sửa lỗi AI Dự báo nhân sự</t>
  </si>
  <si>
    <t>Sửa lỗi Đề xuất khen thưởng kỷ luật</t>
  </si>
  <si>
    <t>Kiểm tra lại HR Chatbot</t>
  </si>
  <si>
    <t>Kiểm tra lại AI Dự báo nhân sự</t>
  </si>
  <si>
    <t>Kiểm tra lại Đề xuất khen thưởng kỷ luật</t>
  </si>
  <si>
    <t>Giang, Nhi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</si>
</sst>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Times New Roman"/>
    </font>
    <font>
      <sz val="11"/>
      <name val="Calibri"/>
    </font>
    <font>
      <sz val="13"/>
      <color theme="1"/>
      <name val="Times New Roman"/>
    </font>
    <font>
      <sz val="13"/>
      <color rgb="FF000000"/>
      <name val="Times New Roman"/>
    </font>
    <font>
      <sz val="13"/>
      <color theme="1"/>
      <name val="Times New Roman"/>
      <family val="1"/>
    </font>
    <font>
      <sz val="11"/>
      <name val="Calibri"/>
      <family val="2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0F035"/>
        <bgColor rgb="FF30F035"/>
      </patternFill>
    </fill>
    <fill>
      <patternFill patternType="solid">
        <fgColor rgb="FFD6DCE4"/>
        <bgColor rgb="FFD6DCE4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FFFF00"/>
      </patternFill>
    </fill>
    <fill>
      <patternFill patternType="solid">
        <fgColor rgb="FF92D05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27"/>
    <xf numFmtId="0" fontId="1" fillId="0" borderId="27"/>
  </cellStyleXfs>
  <cellXfs count="141">
    <xf numFmtId="0" fontId="0" fillId="0" borderId="0" xfId="0"/>
    <xf numFmtId="0" fontId="3" fillId="0" borderId="3" xfId="0" applyFont="1" applyBorder="1" applyAlignment="1">
      <alignment wrapText="1"/>
    </xf>
    <xf numFmtId="0" fontId="5" fillId="0" borderId="0" xfId="0" applyFont="1"/>
    <xf numFmtId="0" fontId="5" fillId="2" borderId="4" xfId="0" applyFont="1" applyFill="1" applyBorder="1"/>
    <xf numFmtId="0" fontId="5" fillId="0" borderId="5" xfId="0" applyFont="1" applyBorder="1" applyAlignment="1">
      <alignment horizontal="left" vertical="center"/>
    </xf>
    <xf numFmtId="0" fontId="5" fillId="0" borderId="3" xfId="0" applyFont="1" applyBorder="1"/>
    <xf numFmtId="0" fontId="5" fillId="3" borderId="6" xfId="0" applyFont="1" applyFill="1" applyBorder="1"/>
    <xf numFmtId="0" fontId="5" fillId="0" borderId="7" xfId="0" applyFont="1" applyBorder="1" applyAlignment="1">
      <alignment horizontal="left" vertical="center" wrapText="1"/>
    </xf>
    <xf numFmtId="14" fontId="5" fillId="0" borderId="3" xfId="0" applyNumberFormat="1" applyFont="1" applyBorder="1" applyAlignment="1">
      <alignment horizontal="left"/>
    </xf>
    <xf numFmtId="0" fontId="5" fillId="4" borderId="8" xfId="0" applyFont="1" applyFill="1" applyBorder="1"/>
    <xf numFmtId="0" fontId="5" fillId="0" borderId="9" xfId="0" applyFont="1" applyBorder="1" applyAlignment="1">
      <alignment vertical="center" wrapText="1"/>
    </xf>
    <xf numFmtId="0" fontId="3" fillId="6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5" borderId="3" xfId="0" applyFont="1" applyFill="1" applyBorder="1"/>
    <xf numFmtId="0" fontId="3" fillId="5" borderId="11" xfId="0" applyFont="1" applyFill="1" applyBorder="1"/>
    <xf numFmtId="0" fontId="3" fillId="0" borderId="11" xfId="0" applyFont="1" applyBorder="1" applyAlignment="1">
      <alignment textRotation="90" wrapText="1"/>
    </xf>
    <xf numFmtId="164" fontId="3" fillId="0" borderId="11" xfId="0" applyNumberFormat="1" applyFont="1" applyBorder="1" applyAlignment="1">
      <alignment textRotation="90" wrapText="1"/>
    </xf>
    <xf numFmtId="164" fontId="3" fillId="0" borderId="0" xfId="0" applyNumberFormat="1" applyFont="1" applyAlignment="1">
      <alignment textRotation="90" wrapText="1"/>
    </xf>
    <xf numFmtId="0" fontId="5" fillId="0" borderId="12" xfId="0" applyFont="1" applyBorder="1"/>
    <xf numFmtId="0" fontId="5" fillId="0" borderId="11" xfId="0" applyFont="1" applyBorder="1"/>
    <xf numFmtId="0" fontId="5" fillId="4" borderId="17" xfId="0" applyFont="1" applyFill="1" applyBorder="1"/>
    <xf numFmtId="0" fontId="5" fillId="2" borderId="11" xfId="0" applyFont="1" applyFill="1" applyBorder="1"/>
    <xf numFmtId="0" fontId="5" fillId="3" borderId="11" xfId="0" applyFont="1" applyFill="1" applyBorder="1"/>
    <xf numFmtId="0" fontId="5" fillId="4" borderId="11" xfId="0" applyFont="1" applyFill="1" applyBorder="1"/>
    <xf numFmtId="0" fontId="5" fillId="7" borderId="11" xfId="0" applyFont="1" applyFill="1" applyBorder="1"/>
    <xf numFmtId="164" fontId="3" fillId="0" borderId="18" xfId="0" applyNumberFormat="1" applyFont="1" applyBorder="1" applyAlignment="1">
      <alignment textRotation="90" wrapText="1"/>
    </xf>
    <xf numFmtId="0" fontId="6" fillId="0" borderId="11" xfId="0" applyFont="1" applyBorder="1" applyAlignment="1">
      <alignment horizontal="center" vertical="center" wrapText="1"/>
    </xf>
    <xf numFmtId="0" fontId="5" fillId="2" borderId="26" xfId="0" applyFont="1" applyFill="1" applyBorder="1"/>
    <xf numFmtId="0" fontId="6" fillId="0" borderId="12" xfId="0" applyFont="1" applyBorder="1" applyAlignment="1">
      <alignment horizontal="center" vertical="center" wrapText="1"/>
    </xf>
    <xf numFmtId="0" fontId="5" fillId="7" borderId="27" xfId="0" applyFont="1" applyFill="1" applyBorder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8" borderId="11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3" fillId="9" borderId="8" xfId="0" applyFont="1" applyFill="1" applyBorder="1" applyAlignment="1">
      <alignment horizontal="left" vertical="center"/>
    </xf>
    <xf numFmtId="0" fontId="3" fillId="9" borderId="34" xfId="0" applyFont="1" applyFill="1" applyBorder="1" applyAlignment="1">
      <alignment horizontal="center" vertical="center"/>
    </xf>
    <xf numFmtId="0" fontId="5" fillId="9" borderId="6" xfId="0" applyFont="1" applyFill="1" applyBorder="1"/>
    <xf numFmtId="0" fontId="5" fillId="0" borderId="7" xfId="0" applyFont="1" applyBorder="1"/>
    <xf numFmtId="0" fontId="5" fillId="9" borderId="8" xfId="0" applyFont="1" applyFill="1" applyBorder="1"/>
    <xf numFmtId="0" fontId="5" fillId="0" borderId="9" xfId="0" applyFont="1" applyBorder="1"/>
    <xf numFmtId="0" fontId="4" fillId="0" borderId="13" xfId="0" applyFont="1" applyBorder="1"/>
    <xf numFmtId="0" fontId="4" fillId="0" borderId="19" xfId="0" applyFont="1" applyBorder="1"/>
    <xf numFmtId="0" fontId="2" fillId="0" borderId="27" xfId="1"/>
    <xf numFmtId="0" fontId="7" fillId="0" borderId="27" xfId="1" applyFont="1"/>
    <xf numFmtId="0" fontId="10" fillId="0" borderId="27" xfId="1" applyFont="1" applyAlignment="1">
      <alignment horizontal="left" vertical="center" wrapText="1" indent="1"/>
    </xf>
    <xf numFmtId="0" fontId="7" fillId="2" borderId="4" xfId="1" applyFont="1" applyFill="1" applyBorder="1"/>
    <xf numFmtId="164" fontId="9" fillId="0" borderId="27" xfId="1" applyNumberFormat="1" applyFont="1" applyAlignment="1">
      <alignment textRotation="90" wrapText="1"/>
    </xf>
    <xf numFmtId="0" fontId="9" fillId="5" borderId="3" xfId="1" applyFont="1" applyFill="1" applyBorder="1"/>
    <xf numFmtId="0" fontId="7" fillId="0" borderId="3" xfId="1" applyFont="1" applyBorder="1"/>
    <xf numFmtId="0" fontId="7" fillId="0" borderId="3" xfId="1" applyFont="1" applyBorder="1" applyAlignment="1">
      <alignment horizontal="center"/>
    </xf>
    <xf numFmtId="0" fontId="9" fillId="6" borderId="3" xfId="1" applyFont="1" applyFill="1" applyBorder="1" applyAlignment="1">
      <alignment horizontal="center"/>
    </xf>
    <xf numFmtId="14" fontId="7" fillId="0" borderId="3" xfId="1" applyNumberFormat="1" applyFont="1" applyBorder="1" applyAlignment="1">
      <alignment horizontal="left"/>
    </xf>
    <xf numFmtId="0" fontId="7" fillId="0" borderId="9" xfId="1" applyFont="1" applyBorder="1" applyAlignment="1">
      <alignment vertical="center" wrapText="1"/>
    </xf>
    <xf numFmtId="0" fontId="7" fillId="4" borderId="8" xfId="1" applyFont="1" applyFill="1" applyBorder="1"/>
    <xf numFmtId="0" fontId="7" fillId="0" borderId="7" xfId="1" applyFont="1" applyBorder="1" applyAlignment="1">
      <alignment horizontal="left" vertical="center" wrapText="1"/>
    </xf>
    <xf numFmtId="0" fontId="7" fillId="3" borderId="6" xfId="1" applyFont="1" applyFill="1" applyBorder="1"/>
    <xf numFmtId="0" fontId="7" fillId="0" borderId="5" xfId="1" applyFont="1" applyBorder="1" applyAlignment="1">
      <alignment horizontal="left" vertical="center"/>
    </xf>
    <xf numFmtId="0" fontId="9" fillId="0" borderId="3" xfId="1" applyFont="1" applyBorder="1" applyAlignment="1">
      <alignment wrapText="1"/>
    </xf>
    <xf numFmtId="0" fontId="7" fillId="0" borderId="26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  <xf numFmtId="0" fontId="7" fillId="0" borderId="35" xfId="0" applyFont="1" applyBorder="1"/>
    <xf numFmtId="0" fontId="5" fillId="0" borderId="26" xfId="0" applyFont="1" applyBorder="1"/>
    <xf numFmtId="0" fontId="5" fillId="0" borderId="13" xfId="0" applyFont="1" applyBorder="1"/>
    <xf numFmtId="0" fontId="5" fillId="11" borderId="11" xfId="0" applyFont="1" applyFill="1" applyBorder="1"/>
    <xf numFmtId="0" fontId="5" fillId="10" borderId="11" xfId="0" applyFont="1" applyFill="1" applyBorder="1"/>
    <xf numFmtId="0" fontId="5" fillId="10" borderId="12" xfId="0" applyFont="1" applyFill="1" applyBorder="1"/>
    <xf numFmtId="0" fontId="5" fillId="12" borderId="26" xfId="0" applyFont="1" applyFill="1" applyBorder="1"/>
    <xf numFmtId="0" fontId="5" fillId="0" borderId="1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5" fillId="12" borderId="11" xfId="0" applyFont="1" applyFill="1" applyBorder="1"/>
    <xf numFmtId="0" fontId="5" fillId="11" borderId="26" xfId="0" applyFont="1" applyFill="1" applyBorder="1"/>
    <xf numFmtId="0" fontId="5" fillId="13" borderId="26" xfId="0" applyFont="1" applyFill="1" applyBorder="1"/>
    <xf numFmtId="0" fontId="9" fillId="5" borderId="35" xfId="1" applyFont="1" applyFill="1" applyBorder="1"/>
    <xf numFmtId="0" fontId="9" fillId="0" borderId="35" xfId="1" applyFont="1" applyBorder="1" applyAlignment="1">
      <alignment textRotation="90" wrapText="1"/>
    </xf>
    <xf numFmtId="164" fontId="9" fillId="0" borderId="35" xfId="1" applyNumberFormat="1" applyFont="1" applyBorder="1" applyAlignment="1">
      <alignment textRotation="90" wrapText="1"/>
    </xf>
    <xf numFmtId="0" fontId="7" fillId="0" borderId="35" xfId="2" applyFont="1" applyBorder="1"/>
    <xf numFmtId="0" fontId="7" fillId="0" borderId="35" xfId="1" applyFont="1" applyBorder="1"/>
    <xf numFmtId="0" fontId="7" fillId="10" borderId="35" xfId="1" applyFont="1" applyFill="1" applyBorder="1"/>
    <xf numFmtId="0" fontId="12" fillId="14" borderId="35" xfId="1" applyFont="1" applyFill="1" applyBorder="1"/>
    <xf numFmtId="0" fontId="7" fillId="13" borderId="35" xfId="1" applyFont="1" applyFill="1" applyBorder="1"/>
    <xf numFmtId="0" fontId="7" fillId="14" borderId="35" xfId="1" applyFont="1" applyFill="1" applyBorder="1"/>
    <xf numFmtId="0" fontId="5" fillId="8" borderId="28" xfId="0" applyFont="1" applyFill="1" applyBorder="1" applyAlignment="1">
      <alignment horizontal="center"/>
    </xf>
    <xf numFmtId="0" fontId="4" fillId="0" borderId="30" xfId="0" applyFont="1" applyBorder="1"/>
    <xf numFmtId="0" fontId="3" fillId="8" borderId="28" xfId="0" applyFont="1" applyFill="1" applyBorder="1" applyAlignment="1">
      <alignment horizontal="center" vertical="center"/>
    </xf>
    <xf numFmtId="0" fontId="4" fillId="0" borderId="29" xfId="0" applyFont="1" applyBorder="1"/>
    <xf numFmtId="0" fontId="5" fillId="8" borderId="31" xfId="0" applyFont="1" applyFill="1" applyBorder="1" applyAlignment="1">
      <alignment horizontal="center"/>
    </xf>
    <xf numFmtId="0" fontId="4" fillId="0" borderId="33" xfId="0" applyFont="1" applyBorder="1"/>
    <xf numFmtId="0" fontId="3" fillId="8" borderId="12" xfId="0" applyFont="1" applyFill="1" applyBorder="1" applyAlignment="1">
      <alignment horizontal="center" vertical="center"/>
    </xf>
    <xf numFmtId="0" fontId="4" fillId="0" borderId="13" xfId="0" applyFont="1" applyBorder="1"/>
    <xf numFmtId="0" fontId="4" fillId="0" borderId="32" xfId="0" applyFont="1" applyBorder="1"/>
    <xf numFmtId="0" fontId="5" fillId="0" borderId="12" xfId="0" applyFont="1" applyBorder="1"/>
    <xf numFmtId="0" fontId="5" fillId="0" borderId="12" xfId="0" applyFont="1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0" xfId="0" applyFont="1" applyBorder="1"/>
    <xf numFmtId="0" fontId="5" fillId="0" borderId="18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2" xfId="0" applyFont="1" applyBorder="1"/>
    <xf numFmtId="0" fontId="5" fillId="0" borderId="14" xfId="0" applyFont="1" applyBorder="1" applyAlignment="1">
      <alignment horizontal="center" vertical="center" wrapText="1"/>
    </xf>
    <xf numFmtId="0" fontId="4" fillId="0" borderId="16" xfId="0" applyFont="1" applyBorder="1"/>
    <xf numFmtId="0" fontId="5" fillId="0" borderId="18" xfId="0" applyFont="1" applyBorder="1" applyAlignment="1">
      <alignment horizontal="center" vertical="center" wrapText="1"/>
    </xf>
    <xf numFmtId="0" fontId="4" fillId="0" borderId="15" xfId="0" applyFont="1" applyBorder="1"/>
    <xf numFmtId="0" fontId="3" fillId="5" borderId="21" xfId="0" applyFont="1" applyFill="1" applyBorder="1" applyAlignment="1">
      <alignment horizontal="center" vertical="center"/>
    </xf>
    <xf numFmtId="0" fontId="4" fillId="0" borderId="22" xfId="0" applyFont="1" applyBorder="1"/>
    <xf numFmtId="0" fontId="4" fillId="0" borderId="14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3" fillId="5" borderId="1" xfId="0" applyFont="1" applyFill="1" applyBorder="1" applyAlignment="1">
      <alignment horizontal="center"/>
    </xf>
    <xf numFmtId="0" fontId="4" fillId="0" borderId="10" xfId="0" applyFont="1" applyBorder="1"/>
    <xf numFmtId="0" fontId="3" fillId="5" borderId="12" xfId="0" applyFont="1" applyFill="1" applyBorder="1" applyAlignment="1">
      <alignment horizontal="left"/>
    </xf>
    <xf numFmtId="0" fontId="3" fillId="5" borderId="12" xfId="0" applyFont="1" applyFill="1" applyBorder="1" applyAlignment="1">
      <alignment horizontal="center"/>
    </xf>
    <xf numFmtId="0" fontId="5" fillId="0" borderId="12" xfId="0" applyFont="1" applyBorder="1" applyAlignment="1">
      <alignment vertical="center"/>
    </xf>
    <xf numFmtId="0" fontId="3" fillId="0" borderId="12" xfId="0" applyFont="1" applyBorder="1"/>
    <xf numFmtId="0" fontId="5" fillId="0" borderId="26" xfId="0" applyFont="1" applyBorder="1"/>
    <xf numFmtId="0" fontId="5" fillId="0" borderId="13" xfId="0" applyFont="1" applyBorder="1"/>
    <xf numFmtId="0" fontId="5" fillId="0" borderId="23" xfId="0" applyFont="1" applyBorder="1" applyAlignment="1">
      <alignment horizontal="center"/>
    </xf>
    <xf numFmtId="0" fontId="5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7" fillId="0" borderId="12" xfId="0" applyFont="1" applyBorder="1"/>
    <xf numFmtId="0" fontId="7" fillId="0" borderId="35" xfId="2" applyFont="1" applyBorder="1" applyAlignment="1">
      <alignment horizontal="center" vertical="center"/>
    </xf>
    <xf numFmtId="0" fontId="7" fillId="0" borderId="37" xfId="2" applyFont="1" applyBorder="1"/>
    <xf numFmtId="0" fontId="7" fillId="0" borderId="38" xfId="2" applyFont="1" applyBorder="1"/>
    <xf numFmtId="0" fontId="7" fillId="0" borderId="39" xfId="2" applyFont="1" applyBorder="1"/>
    <xf numFmtId="0" fontId="7" fillId="0" borderId="35" xfId="2" applyFont="1" applyBorder="1"/>
    <xf numFmtId="0" fontId="9" fillId="0" borderId="1" xfId="1" applyFont="1" applyBorder="1" applyAlignment="1">
      <alignment horizontal="left"/>
    </xf>
    <xf numFmtId="0" fontId="8" fillId="0" borderId="2" xfId="1" applyFont="1" applyBorder="1"/>
    <xf numFmtId="0" fontId="7" fillId="0" borderId="35" xfId="1" applyFont="1" applyBorder="1" applyAlignment="1">
      <alignment horizontal="center" vertical="center" wrapText="1"/>
    </xf>
    <xf numFmtId="0" fontId="8" fillId="0" borderId="35" xfId="1" applyFont="1" applyBorder="1"/>
    <xf numFmtId="0" fontId="9" fillId="5" borderId="35" xfId="1" applyFont="1" applyFill="1" applyBorder="1" applyAlignment="1">
      <alignment horizontal="center" vertical="center"/>
    </xf>
    <xf numFmtId="0" fontId="9" fillId="5" borderId="1" xfId="1" applyFont="1" applyFill="1" applyBorder="1" applyAlignment="1">
      <alignment horizontal="center"/>
    </xf>
    <xf numFmtId="0" fontId="8" fillId="0" borderId="10" xfId="1" applyFont="1" applyBorder="1"/>
    <xf numFmtId="0" fontId="9" fillId="5" borderId="35" xfId="1" applyFont="1" applyFill="1" applyBorder="1" applyAlignment="1">
      <alignment horizontal="left"/>
    </xf>
    <xf numFmtId="0" fontId="9" fillId="5" borderId="35" xfId="1" applyFont="1" applyFill="1" applyBorder="1" applyAlignment="1">
      <alignment horizontal="center"/>
    </xf>
    <xf numFmtId="0" fontId="9" fillId="0" borderId="35" xfId="1" applyFont="1" applyBorder="1"/>
    <xf numFmtId="0" fontId="7" fillId="0" borderId="35" xfId="1" applyFont="1" applyBorder="1" applyAlignment="1">
      <alignment horizontal="center"/>
    </xf>
  </cellXfs>
  <cellStyles count="3">
    <cellStyle name="Normal" xfId="0" builtinId="0"/>
    <cellStyle name="Normal 2" xfId="1" xr:uid="{E815F4E5-0970-47F0-97CA-DD1E78696142}"/>
    <cellStyle name="Normal 3" xfId="2" xr:uid="{3DD298AE-488C-4D60-A804-2162555C60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Burndown Chart</a:t>
            </a:r>
          </a:p>
        </c:rich>
      </c:tx>
      <c:layout>
        <c:manualLayout>
          <c:xMode val="edge"/>
          <c:yMode val="edge"/>
          <c:x val="0.44600077768056773"/>
          <c:y val="1.2277470841006752E-2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Đường Thực Tế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'Sprint 1'!$I$15:$X$15</c:f>
              <c:numCache>
                <c:formatCode>dd/mm</c:formatCode>
                <c:ptCount val="16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</c:numCache>
            </c:numRef>
          </c:cat>
          <c:val>
            <c:numRef>
              <c:f>'Sprint 1'!$I$126:$X$126</c:f>
              <c:numCache>
                <c:formatCode>General</c:formatCode>
                <c:ptCount val="16"/>
                <c:pt idx="0">
                  <c:v>150</c:v>
                </c:pt>
                <c:pt idx="1">
                  <c:v>139</c:v>
                </c:pt>
                <c:pt idx="2">
                  <c:v>131</c:v>
                </c:pt>
                <c:pt idx="3">
                  <c:v>128</c:v>
                </c:pt>
                <c:pt idx="4">
                  <c:v>117</c:v>
                </c:pt>
                <c:pt idx="5">
                  <c:v>106</c:v>
                </c:pt>
                <c:pt idx="6">
                  <c:v>96</c:v>
                </c:pt>
                <c:pt idx="7">
                  <c:v>82</c:v>
                </c:pt>
                <c:pt idx="8">
                  <c:v>65</c:v>
                </c:pt>
                <c:pt idx="9">
                  <c:v>47</c:v>
                </c:pt>
                <c:pt idx="10">
                  <c:v>27</c:v>
                </c:pt>
                <c:pt idx="11">
                  <c:v>12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E3-4B23-90B1-06124D731CBB}"/>
            </c:ext>
          </c:extLst>
        </c:ser>
        <c:ser>
          <c:idx val="1"/>
          <c:order val="1"/>
          <c:tx>
            <c:v>Đường Ước Tính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'Sprint 1'!$I$15:$X$15</c:f>
              <c:numCache>
                <c:formatCode>dd/mm</c:formatCode>
                <c:ptCount val="16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</c:numCache>
            </c:numRef>
          </c:cat>
          <c:val>
            <c:numRef>
              <c:f>'Sprint 1'!$I$127:$X$127</c:f>
              <c:numCache>
                <c:formatCode>General</c:formatCode>
                <c:ptCount val="16"/>
                <c:pt idx="0">
                  <c:v>150</c:v>
                </c:pt>
                <c:pt idx="1">
                  <c:v>142</c:v>
                </c:pt>
                <c:pt idx="2">
                  <c:v>131</c:v>
                </c:pt>
                <c:pt idx="3">
                  <c:v>126</c:v>
                </c:pt>
                <c:pt idx="4">
                  <c:v>118</c:v>
                </c:pt>
                <c:pt idx="5">
                  <c:v>105</c:v>
                </c:pt>
                <c:pt idx="6">
                  <c:v>94</c:v>
                </c:pt>
                <c:pt idx="7">
                  <c:v>81</c:v>
                </c:pt>
                <c:pt idx="8">
                  <c:v>64</c:v>
                </c:pt>
                <c:pt idx="9">
                  <c:v>47</c:v>
                </c:pt>
                <c:pt idx="10">
                  <c:v>28</c:v>
                </c:pt>
                <c:pt idx="11">
                  <c:v>12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E3-4B23-90B1-06124D731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4801927"/>
        <c:axId val="1886758791"/>
      </c:lineChart>
      <c:dateAx>
        <c:axId val="1154801927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6758791"/>
        <c:crosses val="autoZero"/>
        <c:auto val="1"/>
        <c:lblOffset val="100"/>
        <c:baseTimeUnit val="days"/>
      </c:dateAx>
      <c:valAx>
        <c:axId val="18867587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4801927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2'!$I$15:$W$15</c:f>
              <c:numCache>
                <c:formatCode>dd/mm</c:formatCode>
                <c:ptCount val="15"/>
                <c:pt idx="0">
                  <c:v>46117</c:v>
                </c:pt>
                <c:pt idx="1">
                  <c:v>46118</c:v>
                </c:pt>
                <c:pt idx="2">
                  <c:v>46119</c:v>
                </c:pt>
                <c:pt idx="3">
                  <c:v>46120</c:v>
                </c:pt>
                <c:pt idx="4">
                  <c:v>46121</c:v>
                </c:pt>
                <c:pt idx="5">
                  <c:v>46122</c:v>
                </c:pt>
                <c:pt idx="6">
                  <c:v>46123</c:v>
                </c:pt>
                <c:pt idx="7">
                  <c:v>46124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46130</c:v>
                </c:pt>
                <c:pt idx="14">
                  <c:v>46131</c:v>
                </c:pt>
              </c:numCache>
            </c:numRef>
          </c:cat>
          <c:val>
            <c:numRef>
              <c:f>'Sprint 2'!$I$72:$W$72</c:f>
              <c:numCache>
                <c:formatCode>General</c:formatCode>
                <c:ptCount val="15"/>
                <c:pt idx="0">
                  <c:v>130</c:v>
                </c:pt>
                <c:pt idx="1">
                  <c:v>123</c:v>
                </c:pt>
                <c:pt idx="2">
                  <c:v>108</c:v>
                </c:pt>
                <c:pt idx="3">
                  <c:v>97</c:v>
                </c:pt>
                <c:pt idx="4">
                  <c:v>84</c:v>
                </c:pt>
                <c:pt idx="5">
                  <c:v>77</c:v>
                </c:pt>
                <c:pt idx="6">
                  <c:v>63</c:v>
                </c:pt>
                <c:pt idx="7">
                  <c:v>51</c:v>
                </c:pt>
                <c:pt idx="8">
                  <c:v>39</c:v>
                </c:pt>
                <c:pt idx="9">
                  <c:v>37</c:v>
                </c:pt>
                <c:pt idx="10">
                  <c:v>26</c:v>
                </c:pt>
                <c:pt idx="11">
                  <c:v>17</c:v>
                </c:pt>
                <c:pt idx="12">
                  <c:v>11</c:v>
                </c:pt>
                <c:pt idx="13">
                  <c:v>6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04-495F-8B59-5BE1E4CE9678}"/>
            </c:ext>
          </c:extLst>
        </c:ser>
        <c:ser>
          <c:idx val="1"/>
          <c:order val="1"/>
          <c:tx>
            <c:v>Ước Tính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2'!$I$15:$W$15</c:f>
              <c:numCache>
                <c:formatCode>dd/mm</c:formatCode>
                <c:ptCount val="15"/>
                <c:pt idx="0">
                  <c:v>46117</c:v>
                </c:pt>
                <c:pt idx="1">
                  <c:v>46118</c:v>
                </c:pt>
                <c:pt idx="2">
                  <c:v>46119</c:v>
                </c:pt>
                <c:pt idx="3">
                  <c:v>46120</c:v>
                </c:pt>
                <c:pt idx="4">
                  <c:v>46121</c:v>
                </c:pt>
                <c:pt idx="5">
                  <c:v>46122</c:v>
                </c:pt>
                <c:pt idx="6">
                  <c:v>46123</c:v>
                </c:pt>
                <c:pt idx="7">
                  <c:v>46124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46130</c:v>
                </c:pt>
                <c:pt idx="14">
                  <c:v>46131</c:v>
                </c:pt>
              </c:numCache>
            </c:numRef>
          </c:cat>
          <c:val>
            <c:numRef>
              <c:f>'Sprint 2'!$I$73:$W$73</c:f>
              <c:numCache>
                <c:formatCode>General</c:formatCode>
                <c:ptCount val="15"/>
                <c:pt idx="0">
                  <c:v>130</c:v>
                </c:pt>
                <c:pt idx="1">
                  <c:v>123</c:v>
                </c:pt>
                <c:pt idx="2">
                  <c:v>112</c:v>
                </c:pt>
                <c:pt idx="3">
                  <c:v>96</c:v>
                </c:pt>
                <c:pt idx="4">
                  <c:v>85</c:v>
                </c:pt>
                <c:pt idx="5">
                  <c:v>76</c:v>
                </c:pt>
                <c:pt idx="6">
                  <c:v>65</c:v>
                </c:pt>
                <c:pt idx="7">
                  <c:v>53</c:v>
                </c:pt>
                <c:pt idx="8">
                  <c:v>39</c:v>
                </c:pt>
                <c:pt idx="9">
                  <c:v>35</c:v>
                </c:pt>
                <c:pt idx="10">
                  <c:v>26</c:v>
                </c:pt>
                <c:pt idx="11">
                  <c:v>17</c:v>
                </c:pt>
                <c:pt idx="12">
                  <c:v>11</c:v>
                </c:pt>
                <c:pt idx="13">
                  <c:v>6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04-495F-8B59-5BE1E4CE9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029023"/>
        <c:axId val="1926015583"/>
      </c:lineChart>
      <c:dateAx>
        <c:axId val="1926029023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015583"/>
        <c:crosses val="autoZero"/>
        <c:auto val="1"/>
        <c:lblOffset val="100"/>
        <c:baseTimeUnit val="days"/>
      </c:dateAx>
      <c:valAx>
        <c:axId val="192601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0290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Burndown Chart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Thực Tế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'Sprint 3'!$I$15:$W$15</c:f>
              <c:numCache>
                <c:formatCode>dd/mm</c:formatCode>
                <c:ptCount val="15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</c:numCache>
            </c:numRef>
          </c:cat>
          <c:val>
            <c:numRef>
              <c:f>'Sprint 3'!$I$129:$W$129</c:f>
              <c:numCache>
                <c:formatCode>General</c:formatCode>
                <c:ptCount val="15"/>
                <c:pt idx="0">
                  <c:v>151</c:v>
                </c:pt>
                <c:pt idx="1">
                  <c:v>138</c:v>
                </c:pt>
                <c:pt idx="2">
                  <c:v>127</c:v>
                </c:pt>
                <c:pt idx="3">
                  <c:v>118</c:v>
                </c:pt>
                <c:pt idx="4">
                  <c:v>105</c:v>
                </c:pt>
                <c:pt idx="5">
                  <c:v>90</c:v>
                </c:pt>
                <c:pt idx="6">
                  <c:v>85</c:v>
                </c:pt>
                <c:pt idx="7">
                  <c:v>73</c:v>
                </c:pt>
                <c:pt idx="8">
                  <c:v>62</c:v>
                </c:pt>
                <c:pt idx="9">
                  <c:v>50</c:v>
                </c:pt>
                <c:pt idx="10">
                  <c:v>33</c:v>
                </c:pt>
                <c:pt idx="11">
                  <c:v>15</c:v>
                </c:pt>
                <c:pt idx="12">
                  <c:v>6.5</c:v>
                </c:pt>
                <c:pt idx="13">
                  <c:v>4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3B-4F55-AD3E-44233B253BC1}"/>
            </c:ext>
          </c:extLst>
        </c:ser>
        <c:ser>
          <c:idx val="1"/>
          <c:order val="1"/>
          <c:tx>
            <c:v>Ước Tính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'Sprint 3'!$I$15:$W$15</c:f>
              <c:numCache>
                <c:formatCode>dd/mm</c:formatCode>
                <c:ptCount val="15"/>
                <c:pt idx="0">
                  <c:v>46132</c:v>
                </c:pt>
                <c:pt idx="1">
                  <c:v>46133</c:v>
                </c:pt>
                <c:pt idx="2">
                  <c:v>46134</c:v>
                </c:pt>
                <c:pt idx="3">
                  <c:v>46135</c:v>
                </c:pt>
                <c:pt idx="4">
                  <c:v>46136</c:v>
                </c:pt>
                <c:pt idx="5">
                  <c:v>46137</c:v>
                </c:pt>
                <c:pt idx="6">
                  <c:v>46138</c:v>
                </c:pt>
                <c:pt idx="7">
                  <c:v>46139</c:v>
                </c:pt>
                <c:pt idx="8">
                  <c:v>46140</c:v>
                </c:pt>
                <c:pt idx="9">
                  <c:v>46141</c:v>
                </c:pt>
                <c:pt idx="10">
                  <c:v>46142</c:v>
                </c:pt>
                <c:pt idx="11">
                  <c:v>46143</c:v>
                </c:pt>
                <c:pt idx="12">
                  <c:v>46144</c:v>
                </c:pt>
                <c:pt idx="13">
                  <c:v>46145</c:v>
                </c:pt>
                <c:pt idx="14">
                  <c:v>46146</c:v>
                </c:pt>
              </c:numCache>
            </c:numRef>
          </c:cat>
          <c:val>
            <c:numRef>
              <c:f>'Sprint 3'!$I$130:$W$130</c:f>
              <c:numCache>
                <c:formatCode>General</c:formatCode>
                <c:ptCount val="15"/>
                <c:pt idx="0">
                  <c:v>151</c:v>
                </c:pt>
                <c:pt idx="1">
                  <c:v>141</c:v>
                </c:pt>
                <c:pt idx="2">
                  <c:v>127</c:v>
                </c:pt>
                <c:pt idx="3">
                  <c:v>116</c:v>
                </c:pt>
                <c:pt idx="4">
                  <c:v>105</c:v>
                </c:pt>
                <c:pt idx="5">
                  <c:v>91</c:v>
                </c:pt>
                <c:pt idx="6">
                  <c:v>81</c:v>
                </c:pt>
                <c:pt idx="7">
                  <c:v>73</c:v>
                </c:pt>
                <c:pt idx="8">
                  <c:v>64</c:v>
                </c:pt>
                <c:pt idx="9">
                  <c:v>49</c:v>
                </c:pt>
                <c:pt idx="10">
                  <c:v>31</c:v>
                </c:pt>
                <c:pt idx="11">
                  <c:v>15</c:v>
                </c:pt>
                <c:pt idx="12">
                  <c:v>6.5</c:v>
                </c:pt>
                <c:pt idx="13">
                  <c:v>4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3B-4F55-AD3E-44233B253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431826"/>
        <c:axId val="1538071956"/>
      </c:lineChart>
      <c:dateAx>
        <c:axId val="101431826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8071956"/>
        <c:crosses val="autoZero"/>
        <c:auto val="1"/>
        <c:lblOffset val="100"/>
        <c:baseTimeUnit val="days"/>
      </c:dateAx>
      <c:valAx>
        <c:axId val="1538071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431826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276225</xdr:colOff>
      <xdr:row>16</xdr:row>
      <xdr:rowOff>85725</xdr:rowOff>
    </xdr:from>
    <xdr:ext cx="7200900" cy="5172075"/>
    <xdr:graphicFrame macro="">
      <xdr:nvGraphicFramePr>
        <xdr:cNvPr id="1167869285" name="Chart 1">
          <a:extLst>
            <a:ext uri="{FF2B5EF4-FFF2-40B4-BE49-F238E27FC236}">
              <a16:creationId xmlns:a16="http://schemas.microsoft.com/office/drawing/2014/main" id="{00000000-0008-0000-0000-000065459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161925</xdr:colOff>
      <xdr:row>25</xdr:row>
      <xdr:rowOff>95250</xdr:rowOff>
    </xdr:from>
    <xdr:to>
      <xdr:col>34</xdr:col>
      <xdr:colOff>352425</xdr:colOff>
      <xdr:row>38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8006F5-48DC-202A-B7AC-F087E7BAD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276225</xdr:colOff>
      <xdr:row>16</xdr:row>
      <xdr:rowOff>85725</xdr:rowOff>
    </xdr:from>
    <xdr:ext cx="7200900" cy="5172075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7D54A5A5-B396-48CF-AFCD-4D73B4331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2"/>
  <sheetViews>
    <sheetView zoomScale="10" zoomScaleNormal="10" workbookViewId="0">
      <selection activeCell="AP22" sqref="AP22"/>
    </sheetView>
  </sheetViews>
  <sheetFormatPr defaultColWidth="14.44140625" defaultRowHeight="15" customHeight="1" x14ac:dyDescent="0.3"/>
  <cols>
    <col min="1" max="1" width="16" customWidth="1"/>
    <col min="2" max="2" width="20.33203125" customWidth="1"/>
    <col min="3" max="3" width="55.44140625" customWidth="1"/>
    <col min="4" max="5" width="11" customWidth="1"/>
    <col min="6" max="6" width="20.5546875" customWidth="1"/>
    <col min="7" max="8" width="6.109375" customWidth="1"/>
    <col min="9" max="9" width="6" customWidth="1"/>
    <col min="10" max="13" width="6.109375" customWidth="1"/>
    <col min="14" max="14" width="6" customWidth="1"/>
    <col min="15" max="15" width="6.109375" customWidth="1"/>
    <col min="16" max="20" width="6" customWidth="1"/>
    <col min="21" max="23" width="6.109375" customWidth="1"/>
    <col min="24" max="24" width="6" customWidth="1"/>
    <col min="25" max="25" width="6.109375" customWidth="1"/>
    <col min="26" max="26" width="6" customWidth="1"/>
    <col min="27" max="27" width="5.88671875" customWidth="1"/>
    <col min="28" max="28" width="6.109375" customWidth="1"/>
    <col min="29" max="31" width="6" customWidth="1"/>
    <col min="32" max="41" width="9.109375" customWidth="1"/>
  </cols>
  <sheetData>
    <row r="1" spans="1:41" ht="16.5" customHeight="1" x14ac:dyDescent="0.3">
      <c r="A1" s="101" t="s">
        <v>0</v>
      </c>
      <c r="B1" s="102"/>
      <c r="C1" s="1" t="s">
        <v>1</v>
      </c>
      <c r="D1" s="2"/>
      <c r="E1" s="3"/>
      <c r="F1" s="4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6.5" customHeight="1" x14ac:dyDescent="0.3">
      <c r="A2" s="101" t="s">
        <v>3</v>
      </c>
      <c r="B2" s="102"/>
      <c r="C2" s="5" t="s">
        <v>4</v>
      </c>
      <c r="D2" s="2"/>
      <c r="E2" s="6"/>
      <c r="F2" s="7" t="s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6.5" customHeight="1" x14ac:dyDescent="0.3">
      <c r="A3" s="101" t="s">
        <v>6</v>
      </c>
      <c r="B3" s="102"/>
      <c r="C3" s="8">
        <v>46101</v>
      </c>
      <c r="D3" s="2"/>
      <c r="E3" s="9"/>
      <c r="F3" s="10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7.25" customHeight="1" x14ac:dyDescent="0.3">
      <c r="A4" s="101" t="s">
        <v>8</v>
      </c>
      <c r="B4" s="102"/>
      <c r="C4" s="8">
        <v>46116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6.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6.5" customHeight="1" x14ac:dyDescent="0.3">
      <c r="A6" s="2"/>
      <c r="B6" s="113" t="s">
        <v>9</v>
      </c>
      <c r="C6" s="114"/>
      <c r="D6" s="114"/>
      <c r="E6" s="10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6.5" customHeight="1" x14ac:dyDescent="0.3">
      <c r="A7" s="2"/>
      <c r="B7" s="11" t="s">
        <v>10</v>
      </c>
      <c r="C7" s="11" t="s">
        <v>11</v>
      </c>
      <c r="D7" s="11" t="s">
        <v>12</v>
      </c>
      <c r="E7" s="11" t="s">
        <v>13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ht="16.5" customHeight="1" x14ac:dyDescent="0.3">
      <c r="A8" s="2"/>
      <c r="B8" s="12">
        <v>1</v>
      </c>
      <c r="C8" s="5" t="s">
        <v>14</v>
      </c>
      <c r="D8" s="5">
        <f ca="1">SUMIF($E$16:$F$125,"Hội",$G$16:$G$125)+SUMIF($E$16:$F$125,"All team",$G$16:$G$125)/5+SUMIF($E$16:$F$125,"Hội, Giang",$G$16:$G$125)/2</f>
        <v>36.5</v>
      </c>
      <c r="E8" s="5">
        <f ca="1">SUMIF($E$16:$F$125,"Hội",$H$16:$H$125)+SUMIF($E$16:$F$125,"All team",$H$16:$H$125)/5+SUMIF($E$16:$F$125,"Hội, Giang",$H$16:$H$125)/2</f>
        <v>43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ht="16.5" customHeight="1" x14ac:dyDescent="0.3">
      <c r="A9" s="2"/>
      <c r="B9" s="12">
        <v>2</v>
      </c>
      <c r="C9" s="5" t="s">
        <v>15</v>
      </c>
      <c r="D9" s="5">
        <f ca="1">SUMIF($E$16:$F$125,"Giang",$G$16:$G$125)+SUMIF($E$16:$F$125,"All team",$G$16:$G$125)/5+SUMIF($E$16:$F$125,"Lĩnh, Giang",$G$16:$G$125)/2+SUMIF($E$16:$F$125,"Hội, Giang",$G$16:$G$125)/2</f>
        <v>34.5</v>
      </c>
      <c r="E9" s="5">
        <f ca="1">SUMIF($E$16:$F$125,"Giang",$H$16:$H$125)+SUMIF($E$16:$F$125,"All team",$H$16:$H$125)/5+SUMIF($E$16:$F$125,"Lĩnh, Giang",$H$16:$H$125)/2+SUMIF($E$16:$F$125,"Hội, Giang",$H$16:$H$125)/2</f>
        <v>34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ht="16.5" customHeight="1" x14ac:dyDescent="0.3">
      <c r="A10" s="2"/>
      <c r="B10" s="12">
        <v>3</v>
      </c>
      <c r="C10" s="5" t="s">
        <v>16</v>
      </c>
      <c r="D10" s="5">
        <f ca="1">SUMIF($E$16:$F$125,"Nhi",$G$16:$G$125)+SUMIF($E$16:$F$125,"All team",$G$16:$G$125)/5</f>
        <v>19</v>
      </c>
      <c r="E10" s="5">
        <f ca="1">SUMIF($E$16:$F$125,"Nhi",$H$16:$H$125)+SUMIF($E$16:$F$125,"All team",$H$16:$H$125)/5</f>
        <v>20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16.5" customHeight="1" x14ac:dyDescent="0.3">
      <c r="A11" s="2"/>
      <c r="B11" s="12">
        <v>4</v>
      </c>
      <c r="C11" s="5" t="s">
        <v>17</v>
      </c>
      <c r="D11" s="5">
        <f ca="1">SUMIF($E$16:$F$125,"Khang",$G$16:$G$125)+SUMIF($E$16:$F$125,"All team",$G$16:$G$125)/5+SUMIF($E$16:$F$125,"Khang, Lĩnh",$G$16:$G$125)/2</f>
        <v>29</v>
      </c>
      <c r="E11" s="5">
        <f ca="1">SUMIF($E$16:$F$125,"Khang",$H$16:$H$125)+SUMIF($E$16:$F$125,"All team",$H$16:$H$125)/5+SUMIF($E$16:$F$125,"Khang, Lĩnh",$H$16:$H$125)/2</f>
        <v>26.5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16.5" customHeight="1" x14ac:dyDescent="0.3">
      <c r="A12" s="2"/>
      <c r="B12" s="12">
        <v>5</v>
      </c>
      <c r="C12" s="5" t="s">
        <v>18</v>
      </c>
      <c r="D12" s="5">
        <f ca="1">SUMIF($E$16:$F$125,"Lĩnh",$G$16:$G$125)+SUMIF($E$16:$F$125,"All team",$G$16:$G$125)/5+SUMIF($E$16:$F$125,"Lĩnh, Giang",$G$16:$G$125)/2+SUMIF($E$16:$F$125,"Khang, Lĩnh",$G$16:$G$125)/2</f>
        <v>30</v>
      </c>
      <c r="E12" s="5">
        <f ca="1">SUMIF($E$16:$F$125,"Lĩnh",$H$16:$H$125)+SUMIF($E$16:$F$125,"All team",$H$16:$H$125)/5+SUMIF($E$16:$F$125,"Lĩnh, Giang",$H$16:$H$125)/2+SUMIF($E$16:$F$125,"Khang, Lĩnh",$H$16:$H$125)/2</f>
        <v>26.5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16.5" customHeight="1" x14ac:dyDescent="0.3">
      <c r="A13" s="2"/>
      <c r="B13" s="113" t="s">
        <v>19</v>
      </c>
      <c r="C13" s="102"/>
      <c r="D13" s="13">
        <f t="shared" ref="D13:E13" ca="1" si="0">SUM(D8:D12)</f>
        <v>149</v>
      </c>
      <c r="E13" s="13">
        <f t="shared" ca="1" si="0"/>
        <v>150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ht="16.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ht="62.25" customHeight="1" x14ac:dyDescent="0.3">
      <c r="A15" s="14" t="s">
        <v>20</v>
      </c>
      <c r="B15" s="14" t="s">
        <v>21</v>
      </c>
      <c r="C15" s="115" t="s">
        <v>22</v>
      </c>
      <c r="D15" s="93"/>
      <c r="E15" s="116" t="s">
        <v>23</v>
      </c>
      <c r="F15" s="93"/>
      <c r="G15" s="15" t="s">
        <v>12</v>
      </c>
      <c r="H15" s="15" t="s">
        <v>13</v>
      </c>
      <c r="I15" s="16">
        <v>46101</v>
      </c>
      <c r="J15" s="16">
        <v>46102</v>
      </c>
      <c r="K15" s="16">
        <v>46103</v>
      </c>
      <c r="L15" s="16">
        <v>46104</v>
      </c>
      <c r="M15" s="16">
        <v>46105</v>
      </c>
      <c r="N15" s="16">
        <v>46106</v>
      </c>
      <c r="O15" s="16">
        <v>46107</v>
      </c>
      <c r="P15" s="16">
        <v>46108</v>
      </c>
      <c r="Q15" s="16">
        <v>46109</v>
      </c>
      <c r="R15" s="16">
        <v>46110</v>
      </c>
      <c r="S15" s="16">
        <v>46111</v>
      </c>
      <c r="T15" s="16">
        <v>46112</v>
      </c>
      <c r="U15" s="16">
        <v>46113</v>
      </c>
      <c r="V15" s="16">
        <v>46114</v>
      </c>
      <c r="W15" s="16">
        <v>46115</v>
      </c>
      <c r="X15" s="16">
        <v>46116</v>
      </c>
      <c r="Y15" s="17"/>
      <c r="Z15" s="17"/>
      <c r="AA15" s="17"/>
      <c r="AB15" s="17"/>
      <c r="AC15" s="17"/>
      <c r="AD15" s="17"/>
      <c r="AE15" s="17"/>
      <c r="AF15" s="17"/>
      <c r="AG15" s="2"/>
      <c r="AH15" s="2"/>
      <c r="AI15" s="2"/>
      <c r="AJ15" s="2"/>
      <c r="AK15" s="2"/>
      <c r="AL15" s="2"/>
      <c r="AM15" s="2"/>
      <c r="AN15" s="2"/>
      <c r="AO15" s="2"/>
    </row>
    <row r="16" spans="1:41" ht="16.5" customHeight="1" x14ac:dyDescent="0.3">
      <c r="A16" s="103" t="s">
        <v>4</v>
      </c>
      <c r="B16" s="95" t="s">
        <v>24</v>
      </c>
      <c r="C16" s="106"/>
      <c r="D16" s="93"/>
      <c r="E16" s="96" t="s">
        <v>25</v>
      </c>
      <c r="F16" s="93"/>
      <c r="G16" s="19">
        <v>1</v>
      </c>
      <c r="H16" s="19">
        <v>1</v>
      </c>
      <c r="I16" s="19">
        <v>1</v>
      </c>
      <c r="J16" s="3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ht="16.5" customHeight="1" x14ac:dyDescent="0.3">
      <c r="A17" s="104"/>
      <c r="B17" s="95" t="s">
        <v>26</v>
      </c>
      <c r="C17" s="106"/>
      <c r="D17" s="93"/>
      <c r="E17" s="95" t="s">
        <v>27</v>
      </c>
      <c r="F17" s="93"/>
      <c r="G17" s="19">
        <v>2</v>
      </c>
      <c r="H17" s="19">
        <v>2</v>
      </c>
      <c r="I17" s="19">
        <v>2</v>
      </c>
      <c r="J17" s="3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ht="16.5" customHeight="1" x14ac:dyDescent="0.3">
      <c r="A18" s="104"/>
      <c r="B18" s="95" t="s">
        <v>28</v>
      </c>
      <c r="C18" s="106"/>
      <c r="D18" s="93"/>
      <c r="E18" s="95" t="s">
        <v>27</v>
      </c>
      <c r="F18" s="93"/>
      <c r="G18" s="19">
        <v>1</v>
      </c>
      <c r="H18" s="19">
        <v>4</v>
      </c>
      <c r="I18" s="19">
        <v>4</v>
      </c>
      <c r="J18" s="3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ht="16.5" customHeight="1" x14ac:dyDescent="0.3">
      <c r="A19" s="104"/>
      <c r="B19" s="19"/>
      <c r="C19" s="96"/>
      <c r="D19" s="93"/>
      <c r="E19" s="96"/>
      <c r="F19" s="93"/>
      <c r="G19" s="19"/>
      <c r="H19" s="19"/>
      <c r="I19" s="19"/>
      <c r="J19" s="20">
        <v>3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ht="16.5" customHeight="1" x14ac:dyDescent="0.3">
      <c r="A20" s="104"/>
      <c r="B20" s="105" t="s">
        <v>29</v>
      </c>
      <c r="C20" s="95" t="s">
        <v>30</v>
      </c>
      <c r="D20" s="93"/>
      <c r="E20" s="95" t="s">
        <v>31</v>
      </c>
      <c r="F20" s="93"/>
      <c r="G20" s="19">
        <v>1</v>
      </c>
      <c r="H20" s="19">
        <v>1</v>
      </c>
      <c r="I20" s="19">
        <v>1</v>
      </c>
      <c r="J20" s="21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ht="16.5" customHeight="1" x14ac:dyDescent="0.3">
      <c r="A21" s="104"/>
      <c r="B21" s="98"/>
      <c r="C21" s="95" t="s">
        <v>32</v>
      </c>
      <c r="D21" s="93"/>
      <c r="E21" s="95" t="s">
        <v>31</v>
      </c>
      <c r="F21" s="93"/>
      <c r="G21" s="19">
        <v>1</v>
      </c>
      <c r="H21" s="19">
        <v>1</v>
      </c>
      <c r="I21" s="19">
        <v>1</v>
      </c>
      <c r="J21" s="21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ht="16.5" customHeight="1" x14ac:dyDescent="0.3">
      <c r="A22" s="104"/>
      <c r="B22" s="98"/>
      <c r="C22" s="95" t="s">
        <v>33</v>
      </c>
      <c r="D22" s="93"/>
      <c r="E22" s="95" t="s">
        <v>31</v>
      </c>
      <c r="F22" s="93"/>
      <c r="G22" s="19">
        <v>2</v>
      </c>
      <c r="H22" s="19">
        <v>2</v>
      </c>
      <c r="I22" s="19">
        <v>2</v>
      </c>
      <c r="J22" s="21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ht="16.5" customHeight="1" x14ac:dyDescent="0.3">
      <c r="A23" s="104"/>
      <c r="B23" s="98"/>
      <c r="C23" s="95" t="s">
        <v>34</v>
      </c>
      <c r="D23" s="93"/>
      <c r="E23" s="95" t="s">
        <v>31</v>
      </c>
      <c r="F23" s="93"/>
      <c r="G23" s="19">
        <v>2</v>
      </c>
      <c r="H23" s="19">
        <v>2</v>
      </c>
      <c r="I23" s="19">
        <v>2</v>
      </c>
      <c r="J23" s="19">
        <v>2</v>
      </c>
      <c r="K23" s="21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ht="16.5" customHeight="1" x14ac:dyDescent="0.3">
      <c r="A24" s="104"/>
      <c r="B24" s="98"/>
      <c r="C24" s="95" t="s">
        <v>35</v>
      </c>
      <c r="D24" s="93"/>
      <c r="E24" s="95" t="s">
        <v>31</v>
      </c>
      <c r="F24" s="93"/>
      <c r="G24" s="19">
        <v>2</v>
      </c>
      <c r="H24" s="19">
        <v>2</v>
      </c>
      <c r="I24" s="19">
        <v>2</v>
      </c>
      <c r="J24" s="19">
        <v>2</v>
      </c>
      <c r="K24" s="21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ht="16.5" customHeight="1" x14ac:dyDescent="0.3">
      <c r="A25" s="104"/>
      <c r="B25" s="98"/>
      <c r="C25" s="95" t="s">
        <v>36</v>
      </c>
      <c r="D25" s="93"/>
      <c r="E25" s="95" t="s">
        <v>31</v>
      </c>
      <c r="F25" s="93"/>
      <c r="G25" s="19">
        <v>2</v>
      </c>
      <c r="H25" s="19">
        <v>2</v>
      </c>
      <c r="I25" s="19">
        <v>2</v>
      </c>
      <c r="J25" s="19">
        <v>2</v>
      </c>
      <c r="K25" s="21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ht="16.5" customHeight="1" x14ac:dyDescent="0.3">
      <c r="A26" s="104"/>
      <c r="B26" s="98"/>
      <c r="C26" s="95" t="s">
        <v>37</v>
      </c>
      <c r="D26" s="93"/>
      <c r="E26" s="95" t="s">
        <v>31</v>
      </c>
      <c r="F26" s="93"/>
      <c r="G26" s="19">
        <v>2</v>
      </c>
      <c r="H26" s="19">
        <v>2</v>
      </c>
      <c r="I26" s="19">
        <v>2</v>
      </c>
      <c r="J26" s="19">
        <v>2</v>
      </c>
      <c r="K26" s="21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ht="16.5" customHeight="1" x14ac:dyDescent="0.3">
      <c r="A27" s="104"/>
      <c r="B27" s="98"/>
      <c r="C27" s="95" t="s">
        <v>38</v>
      </c>
      <c r="D27" s="93"/>
      <c r="E27" s="95" t="s">
        <v>31</v>
      </c>
      <c r="F27" s="93"/>
      <c r="G27" s="19">
        <v>2</v>
      </c>
      <c r="H27" s="19">
        <v>2</v>
      </c>
      <c r="I27" s="19">
        <v>2</v>
      </c>
      <c r="J27" s="19">
        <v>2</v>
      </c>
      <c r="K27" s="19">
        <v>2</v>
      </c>
      <c r="L27" s="21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ht="16.5" customHeight="1" x14ac:dyDescent="0.3">
      <c r="A28" s="104"/>
      <c r="B28" s="98"/>
      <c r="C28" s="95" t="s">
        <v>39</v>
      </c>
      <c r="D28" s="93"/>
      <c r="E28" s="95" t="s">
        <v>31</v>
      </c>
      <c r="F28" s="93"/>
      <c r="G28" s="19">
        <v>1</v>
      </c>
      <c r="H28" s="19">
        <v>1</v>
      </c>
      <c r="I28" s="19">
        <v>1</v>
      </c>
      <c r="J28" s="19">
        <v>1</v>
      </c>
      <c r="K28" s="19">
        <v>1</v>
      </c>
      <c r="L28" s="21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ht="16.5" customHeight="1" x14ac:dyDescent="0.3">
      <c r="A29" s="104"/>
      <c r="B29" s="98"/>
      <c r="C29" s="95" t="s">
        <v>40</v>
      </c>
      <c r="D29" s="93"/>
      <c r="E29" s="95" t="s">
        <v>31</v>
      </c>
      <c r="F29" s="93"/>
      <c r="G29" s="19">
        <v>1</v>
      </c>
      <c r="H29" s="19">
        <v>1</v>
      </c>
      <c r="I29" s="19">
        <v>1</v>
      </c>
      <c r="J29" s="19">
        <v>1</v>
      </c>
      <c r="K29" s="19">
        <v>1</v>
      </c>
      <c r="L29" s="21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ht="16.5" customHeight="1" x14ac:dyDescent="0.3">
      <c r="A30" s="104"/>
      <c r="B30" s="98"/>
      <c r="C30" s="95" t="s">
        <v>41</v>
      </c>
      <c r="D30" s="93"/>
      <c r="E30" s="95" t="s">
        <v>31</v>
      </c>
      <c r="F30" s="93"/>
      <c r="G30" s="19">
        <v>4</v>
      </c>
      <c r="H30" s="19">
        <v>2</v>
      </c>
      <c r="I30" s="19">
        <v>2</v>
      </c>
      <c r="J30" s="19">
        <v>2</v>
      </c>
      <c r="K30" s="19">
        <v>2</v>
      </c>
      <c r="L30" s="21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ht="16.5" customHeight="1" x14ac:dyDescent="0.3">
      <c r="A31" s="104"/>
      <c r="B31" s="98"/>
      <c r="C31" s="96"/>
      <c r="D31" s="93"/>
      <c r="E31" s="96"/>
      <c r="F31" s="93"/>
      <c r="G31" s="19"/>
      <c r="H31" s="19"/>
      <c r="I31" s="19"/>
      <c r="J31" s="19"/>
      <c r="K31" s="19"/>
      <c r="L31" s="22">
        <v>2</v>
      </c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ht="16.5" customHeight="1" x14ac:dyDescent="0.3">
      <c r="A32" s="104"/>
      <c r="B32" s="99"/>
      <c r="C32" s="95" t="s">
        <v>42</v>
      </c>
      <c r="D32" s="93"/>
      <c r="E32" s="95" t="s">
        <v>31</v>
      </c>
      <c r="F32" s="93"/>
      <c r="G32" s="19">
        <v>2</v>
      </c>
      <c r="H32" s="19">
        <v>2</v>
      </c>
      <c r="I32" s="19">
        <v>2</v>
      </c>
      <c r="J32" s="19">
        <v>2</v>
      </c>
      <c r="K32" s="19">
        <v>2</v>
      </c>
      <c r="L32" s="19">
        <v>2</v>
      </c>
      <c r="M32" s="21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ht="16.5" customHeight="1" x14ac:dyDescent="0.3">
      <c r="A33" s="104"/>
      <c r="B33" s="105" t="s">
        <v>43</v>
      </c>
      <c r="C33" s="95" t="s">
        <v>30</v>
      </c>
      <c r="D33" s="93"/>
      <c r="E33" s="95" t="s">
        <v>27</v>
      </c>
      <c r="F33" s="93"/>
      <c r="G33" s="19">
        <v>1</v>
      </c>
      <c r="H33" s="19">
        <v>1</v>
      </c>
      <c r="I33" s="19">
        <v>1</v>
      </c>
      <c r="J33" s="19">
        <v>1</v>
      </c>
      <c r="K33" s="19">
        <v>1</v>
      </c>
      <c r="L33" s="19">
        <v>1</v>
      </c>
      <c r="M33" s="21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ht="16.5" customHeight="1" x14ac:dyDescent="0.3">
      <c r="A34" s="104"/>
      <c r="B34" s="98"/>
      <c r="C34" s="95" t="s">
        <v>32</v>
      </c>
      <c r="D34" s="93"/>
      <c r="E34" s="95" t="s">
        <v>27</v>
      </c>
      <c r="F34" s="93"/>
      <c r="G34" s="19">
        <v>1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21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ht="16.5" customHeight="1" x14ac:dyDescent="0.3">
      <c r="A35" s="104"/>
      <c r="B35" s="98"/>
      <c r="C35" s="95" t="s">
        <v>33</v>
      </c>
      <c r="D35" s="93"/>
      <c r="E35" s="95" t="s">
        <v>27</v>
      </c>
      <c r="F35" s="93"/>
      <c r="G35" s="19">
        <v>2</v>
      </c>
      <c r="H35" s="19">
        <v>2</v>
      </c>
      <c r="I35" s="19">
        <v>2</v>
      </c>
      <c r="J35" s="19">
        <v>2</v>
      </c>
      <c r="K35" s="19">
        <v>2</v>
      </c>
      <c r="L35" s="19">
        <v>2</v>
      </c>
      <c r="M35" s="21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ht="16.5" customHeight="1" x14ac:dyDescent="0.3">
      <c r="A36" s="104"/>
      <c r="B36" s="98"/>
      <c r="C36" s="95" t="s">
        <v>34</v>
      </c>
      <c r="D36" s="93"/>
      <c r="E36" s="95" t="s">
        <v>44</v>
      </c>
      <c r="F36" s="93"/>
      <c r="G36" s="19">
        <v>1</v>
      </c>
      <c r="H36" s="19">
        <v>2</v>
      </c>
      <c r="I36" s="19">
        <v>2</v>
      </c>
      <c r="J36" s="19">
        <v>2</v>
      </c>
      <c r="K36" s="19">
        <v>2</v>
      </c>
      <c r="L36" s="19">
        <v>1</v>
      </c>
      <c r="M36" s="21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ht="16.5" customHeight="1" x14ac:dyDescent="0.3">
      <c r="A37" s="104"/>
      <c r="B37" s="98"/>
      <c r="C37" s="96"/>
      <c r="D37" s="93"/>
      <c r="E37" s="96"/>
      <c r="F37" s="93"/>
      <c r="G37" s="19"/>
      <c r="H37" s="19"/>
      <c r="I37" s="19"/>
      <c r="J37" s="19"/>
      <c r="K37" s="19"/>
      <c r="L37" s="19"/>
      <c r="M37" s="23">
        <v>1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ht="16.5" customHeight="1" x14ac:dyDescent="0.3">
      <c r="A38" s="104"/>
      <c r="B38" s="98"/>
      <c r="C38" s="95" t="s">
        <v>35</v>
      </c>
      <c r="D38" s="93"/>
      <c r="E38" s="95" t="s">
        <v>45</v>
      </c>
      <c r="F38" s="93"/>
      <c r="G38" s="19">
        <v>2</v>
      </c>
      <c r="H38" s="19">
        <v>2</v>
      </c>
      <c r="I38" s="19">
        <v>2</v>
      </c>
      <c r="J38" s="19">
        <v>2</v>
      </c>
      <c r="K38" s="19">
        <v>2</v>
      </c>
      <c r="L38" s="19">
        <v>2</v>
      </c>
      <c r="M38" s="19">
        <v>2</v>
      </c>
      <c r="N38" s="21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ht="16.5" customHeight="1" x14ac:dyDescent="0.3">
      <c r="A39" s="104"/>
      <c r="B39" s="98"/>
      <c r="C39" s="95" t="s">
        <v>36</v>
      </c>
      <c r="D39" s="93"/>
      <c r="E39" s="95" t="s">
        <v>44</v>
      </c>
      <c r="F39" s="93"/>
      <c r="G39" s="19">
        <v>1</v>
      </c>
      <c r="H39" s="19">
        <v>1</v>
      </c>
      <c r="I39" s="19">
        <v>1</v>
      </c>
      <c r="J39" s="19">
        <v>1</v>
      </c>
      <c r="K39" s="19">
        <v>1</v>
      </c>
      <c r="L39" s="19">
        <v>1</v>
      </c>
      <c r="M39" s="19">
        <v>1</v>
      </c>
      <c r="N39" s="21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ht="16.5" customHeight="1" x14ac:dyDescent="0.3">
      <c r="A40" s="104"/>
      <c r="B40" s="98"/>
      <c r="C40" s="95" t="s">
        <v>37</v>
      </c>
      <c r="D40" s="93"/>
      <c r="E40" s="95" t="s">
        <v>44</v>
      </c>
      <c r="F40" s="93"/>
      <c r="G40" s="19">
        <v>1</v>
      </c>
      <c r="H40" s="19">
        <v>1</v>
      </c>
      <c r="I40" s="19">
        <v>1</v>
      </c>
      <c r="J40" s="19">
        <v>1</v>
      </c>
      <c r="K40" s="19">
        <v>1</v>
      </c>
      <c r="L40" s="19">
        <v>1</v>
      </c>
      <c r="M40" s="19">
        <v>1</v>
      </c>
      <c r="N40" s="21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ht="16.5" customHeight="1" x14ac:dyDescent="0.3">
      <c r="A41" s="104"/>
      <c r="B41" s="98"/>
      <c r="C41" s="95" t="s">
        <v>38</v>
      </c>
      <c r="D41" s="93"/>
      <c r="E41" s="95" t="s">
        <v>27</v>
      </c>
      <c r="F41" s="93"/>
      <c r="G41" s="19">
        <v>1</v>
      </c>
      <c r="H41" s="19">
        <v>1</v>
      </c>
      <c r="I41" s="19">
        <v>1</v>
      </c>
      <c r="J41" s="19">
        <v>1</v>
      </c>
      <c r="K41" s="19">
        <v>1</v>
      </c>
      <c r="L41" s="19">
        <v>1</v>
      </c>
      <c r="M41" s="19">
        <v>1</v>
      </c>
      <c r="N41" s="21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ht="16.5" customHeight="1" x14ac:dyDescent="0.3">
      <c r="A42" s="104"/>
      <c r="B42" s="98"/>
      <c r="C42" s="95" t="s">
        <v>39</v>
      </c>
      <c r="D42" s="93"/>
      <c r="E42" s="95" t="s">
        <v>46</v>
      </c>
      <c r="F42" s="93"/>
      <c r="G42" s="19">
        <v>1</v>
      </c>
      <c r="H42" s="19">
        <v>1</v>
      </c>
      <c r="I42" s="19">
        <v>1</v>
      </c>
      <c r="J42" s="19">
        <v>1</v>
      </c>
      <c r="K42" s="19">
        <v>1</v>
      </c>
      <c r="L42" s="19">
        <v>1</v>
      </c>
      <c r="M42" s="19">
        <v>1</v>
      </c>
      <c r="N42" s="21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6.5" customHeight="1" x14ac:dyDescent="0.3">
      <c r="A43" s="104"/>
      <c r="B43" s="98"/>
      <c r="C43" s="95" t="s">
        <v>40</v>
      </c>
      <c r="D43" s="93"/>
      <c r="E43" s="95" t="s">
        <v>46</v>
      </c>
      <c r="F43" s="93"/>
      <c r="G43" s="19">
        <v>1</v>
      </c>
      <c r="H43" s="19">
        <v>1</v>
      </c>
      <c r="I43" s="19">
        <v>1</v>
      </c>
      <c r="J43" s="19">
        <v>1</v>
      </c>
      <c r="K43" s="19">
        <v>1</v>
      </c>
      <c r="L43" s="19">
        <v>1</v>
      </c>
      <c r="M43" s="19">
        <v>1</v>
      </c>
      <c r="N43" s="21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6.5" customHeight="1" x14ac:dyDescent="0.3">
      <c r="A44" s="104"/>
      <c r="B44" s="98"/>
      <c r="C44" s="95" t="s">
        <v>41</v>
      </c>
      <c r="D44" s="93"/>
      <c r="E44" s="95" t="s">
        <v>45</v>
      </c>
      <c r="F44" s="93"/>
      <c r="G44" s="19">
        <v>2</v>
      </c>
      <c r="H44" s="19">
        <v>2</v>
      </c>
      <c r="I44" s="19">
        <v>2</v>
      </c>
      <c r="J44" s="19">
        <v>2</v>
      </c>
      <c r="K44" s="19">
        <v>2</v>
      </c>
      <c r="L44" s="19">
        <v>2</v>
      </c>
      <c r="M44" s="19">
        <v>2</v>
      </c>
      <c r="N44" s="21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6.5" customHeight="1" x14ac:dyDescent="0.3">
      <c r="A45" s="104"/>
      <c r="B45" s="98"/>
      <c r="C45" s="66"/>
      <c r="D45" s="43"/>
      <c r="E45" s="66"/>
      <c r="F45" s="43"/>
      <c r="G45" s="19"/>
      <c r="H45" s="19"/>
      <c r="I45" s="19"/>
      <c r="J45" s="19"/>
      <c r="K45" s="19"/>
      <c r="L45" s="19"/>
      <c r="M45" s="19"/>
      <c r="N45" s="68">
        <v>1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6.5" customHeight="1" x14ac:dyDescent="0.3">
      <c r="A46" s="104"/>
      <c r="B46" s="99"/>
      <c r="C46" s="95" t="s">
        <v>42</v>
      </c>
      <c r="D46" s="93"/>
      <c r="E46" s="95" t="s">
        <v>44</v>
      </c>
      <c r="F46" s="93"/>
      <c r="G46" s="19">
        <v>1</v>
      </c>
      <c r="H46" s="19">
        <v>1</v>
      </c>
      <c r="I46" s="19">
        <v>1</v>
      </c>
      <c r="J46" s="19">
        <v>1</v>
      </c>
      <c r="K46" s="19">
        <v>1</v>
      </c>
      <c r="L46" s="19">
        <v>1</v>
      </c>
      <c r="M46" s="19">
        <v>1</v>
      </c>
      <c r="N46" s="21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6.5" customHeight="1" x14ac:dyDescent="0.3">
      <c r="A47" s="104"/>
      <c r="B47" s="105" t="s">
        <v>47</v>
      </c>
      <c r="C47" s="95" t="s">
        <v>48</v>
      </c>
      <c r="D47" s="93"/>
      <c r="E47" s="95" t="s">
        <v>49</v>
      </c>
      <c r="F47" s="93"/>
      <c r="G47" s="19">
        <v>1</v>
      </c>
      <c r="H47" s="19">
        <v>1</v>
      </c>
      <c r="I47" s="19">
        <v>1</v>
      </c>
      <c r="J47" s="19">
        <v>1</v>
      </c>
      <c r="K47" s="19">
        <v>1</v>
      </c>
      <c r="L47" s="19">
        <v>1</v>
      </c>
      <c r="M47" s="19">
        <v>1</v>
      </c>
      <c r="N47" s="21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6.5" customHeight="1" x14ac:dyDescent="0.3">
      <c r="A48" s="104"/>
      <c r="B48" s="98"/>
      <c r="C48" s="95" t="s">
        <v>50</v>
      </c>
      <c r="D48" s="93"/>
      <c r="E48" s="95" t="s">
        <v>49</v>
      </c>
      <c r="F48" s="93"/>
      <c r="G48" s="19">
        <v>2</v>
      </c>
      <c r="H48" s="19">
        <v>2</v>
      </c>
      <c r="I48" s="19">
        <v>2</v>
      </c>
      <c r="J48" s="19">
        <v>2</v>
      </c>
      <c r="K48" s="19">
        <v>2</v>
      </c>
      <c r="L48" s="19">
        <v>2</v>
      </c>
      <c r="M48" s="19">
        <v>2</v>
      </c>
      <c r="N48" s="21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6.5" customHeight="1" x14ac:dyDescent="0.3">
      <c r="A49" s="104"/>
      <c r="B49" s="98"/>
      <c r="C49" s="95" t="s">
        <v>51</v>
      </c>
      <c r="D49" s="93"/>
      <c r="E49" s="95" t="s">
        <v>52</v>
      </c>
      <c r="F49" s="93"/>
      <c r="G49" s="19">
        <v>2</v>
      </c>
      <c r="H49" s="19">
        <v>2</v>
      </c>
      <c r="I49" s="19">
        <v>2</v>
      </c>
      <c r="J49" s="19">
        <v>2</v>
      </c>
      <c r="K49" s="19">
        <v>2</v>
      </c>
      <c r="L49" s="19">
        <v>2</v>
      </c>
      <c r="M49" s="19">
        <v>2</v>
      </c>
      <c r="N49" s="19">
        <v>2</v>
      </c>
      <c r="O49" s="21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6.5" customHeight="1" x14ac:dyDescent="0.3">
      <c r="A50" s="104"/>
      <c r="B50" s="98"/>
      <c r="C50" s="95" t="s">
        <v>53</v>
      </c>
      <c r="D50" s="93"/>
      <c r="E50" s="95" t="s">
        <v>49</v>
      </c>
      <c r="F50" s="93"/>
      <c r="G50" s="19">
        <v>1</v>
      </c>
      <c r="H50" s="19">
        <v>1</v>
      </c>
      <c r="I50" s="19">
        <v>1</v>
      </c>
      <c r="J50" s="19">
        <v>1</v>
      </c>
      <c r="K50" s="19">
        <v>1</v>
      </c>
      <c r="L50" s="19">
        <v>1</v>
      </c>
      <c r="M50" s="19">
        <v>1</v>
      </c>
      <c r="N50" s="19">
        <v>1</v>
      </c>
      <c r="O50" s="21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6.5" customHeight="1" x14ac:dyDescent="0.3">
      <c r="A51" s="104"/>
      <c r="B51" s="98"/>
      <c r="C51" s="95" t="s">
        <v>54</v>
      </c>
      <c r="D51" s="93"/>
      <c r="E51" s="95" t="s">
        <v>49</v>
      </c>
      <c r="F51" s="93"/>
      <c r="G51" s="19">
        <v>2</v>
      </c>
      <c r="H51" s="19">
        <v>2</v>
      </c>
      <c r="I51" s="19">
        <v>2</v>
      </c>
      <c r="J51" s="19">
        <v>2</v>
      </c>
      <c r="K51" s="19">
        <v>2</v>
      </c>
      <c r="L51" s="19">
        <v>2</v>
      </c>
      <c r="M51" s="19">
        <v>2</v>
      </c>
      <c r="N51" s="19">
        <v>2</v>
      </c>
      <c r="O51" s="21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6.5" customHeight="1" x14ac:dyDescent="0.3">
      <c r="A52" s="104"/>
      <c r="B52" s="98"/>
      <c r="C52" s="95" t="s">
        <v>55</v>
      </c>
      <c r="D52" s="93"/>
      <c r="E52" s="95" t="s">
        <v>52</v>
      </c>
      <c r="F52" s="93"/>
      <c r="G52" s="19">
        <v>3</v>
      </c>
      <c r="H52" s="19">
        <v>3</v>
      </c>
      <c r="I52" s="19">
        <v>3</v>
      </c>
      <c r="J52" s="19">
        <v>3</v>
      </c>
      <c r="K52" s="19">
        <v>3</v>
      </c>
      <c r="L52" s="19">
        <v>3</v>
      </c>
      <c r="M52" s="19">
        <v>3</v>
      </c>
      <c r="N52" s="19">
        <v>3</v>
      </c>
      <c r="O52" s="21">
        <v>0</v>
      </c>
      <c r="P52" s="24">
        <v>0</v>
      </c>
      <c r="Q52" s="24">
        <v>0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6.5" customHeight="1" x14ac:dyDescent="0.3">
      <c r="A53" s="104"/>
      <c r="B53" s="98"/>
      <c r="C53" s="66"/>
      <c r="D53" s="43"/>
      <c r="E53" s="66"/>
      <c r="F53" s="43"/>
      <c r="G53" s="19"/>
      <c r="H53" s="19"/>
      <c r="I53" s="19"/>
      <c r="J53" s="19"/>
      <c r="K53" s="19"/>
      <c r="L53" s="19"/>
      <c r="M53" s="19"/>
      <c r="N53" s="19"/>
      <c r="O53" s="68">
        <v>2</v>
      </c>
      <c r="P53" s="24"/>
      <c r="Q53" s="24"/>
      <c r="R53" s="24"/>
      <c r="S53" s="24"/>
      <c r="T53" s="24"/>
      <c r="U53" s="24"/>
      <c r="V53" s="24"/>
      <c r="W53" s="24"/>
      <c r="X53" s="24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6.5" customHeight="1" x14ac:dyDescent="0.3">
      <c r="A54" s="104"/>
      <c r="B54" s="98"/>
      <c r="C54" s="95" t="s">
        <v>56</v>
      </c>
      <c r="D54" s="93"/>
      <c r="E54" s="95" t="s">
        <v>49</v>
      </c>
      <c r="F54" s="93"/>
      <c r="G54" s="19">
        <v>1</v>
      </c>
      <c r="H54" s="19">
        <v>1</v>
      </c>
      <c r="I54" s="19">
        <v>1</v>
      </c>
      <c r="J54" s="19">
        <v>1</v>
      </c>
      <c r="K54" s="19">
        <v>1</v>
      </c>
      <c r="L54" s="19">
        <v>1</v>
      </c>
      <c r="M54" s="19">
        <v>1</v>
      </c>
      <c r="N54" s="19">
        <v>1</v>
      </c>
      <c r="O54" s="21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6.5" customHeight="1" x14ac:dyDescent="0.3">
      <c r="A55" s="104"/>
      <c r="B55" s="98"/>
      <c r="C55" s="95" t="s">
        <v>57</v>
      </c>
      <c r="D55" s="93"/>
      <c r="E55" s="95" t="s">
        <v>49</v>
      </c>
      <c r="F55" s="93"/>
      <c r="G55" s="19">
        <v>1</v>
      </c>
      <c r="H55" s="19">
        <v>1</v>
      </c>
      <c r="I55" s="19">
        <v>1</v>
      </c>
      <c r="J55" s="19">
        <v>1</v>
      </c>
      <c r="K55" s="19">
        <v>1</v>
      </c>
      <c r="L55" s="19">
        <v>1</v>
      </c>
      <c r="M55" s="19">
        <v>1</v>
      </c>
      <c r="N55" s="19">
        <v>1</v>
      </c>
      <c r="O55" s="21">
        <v>0</v>
      </c>
      <c r="P55" s="24">
        <v>0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6.5" customHeight="1" x14ac:dyDescent="0.3">
      <c r="A56" s="104"/>
      <c r="B56" s="98"/>
      <c r="C56" s="95" t="s">
        <v>58</v>
      </c>
      <c r="D56" s="93"/>
      <c r="E56" s="95" t="s">
        <v>52</v>
      </c>
      <c r="F56" s="93"/>
      <c r="G56" s="19">
        <v>1</v>
      </c>
      <c r="H56" s="19">
        <v>1</v>
      </c>
      <c r="I56" s="19">
        <v>1</v>
      </c>
      <c r="J56" s="19">
        <v>1</v>
      </c>
      <c r="K56" s="19">
        <v>1</v>
      </c>
      <c r="L56" s="19">
        <v>1</v>
      </c>
      <c r="M56" s="19">
        <v>1</v>
      </c>
      <c r="N56" s="19">
        <v>1</v>
      </c>
      <c r="O56" s="21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6.5" customHeight="1" x14ac:dyDescent="0.3">
      <c r="A57" s="104"/>
      <c r="B57" s="98"/>
      <c r="C57" s="95" t="s">
        <v>59</v>
      </c>
      <c r="D57" s="93"/>
      <c r="E57" s="95" t="s">
        <v>49</v>
      </c>
      <c r="F57" s="93"/>
      <c r="G57" s="19">
        <v>1</v>
      </c>
      <c r="H57" s="19">
        <v>1</v>
      </c>
      <c r="I57" s="19">
        <v>1</v>
      </c>
      <c r="J57" s="19">
        <v>1</v>
      </c>
      <c r="K57" s="19">
        <v>1</v>
      </c>
      <c r="L57" s="19">
        <v>1</v>
      </c>
      <c r="M57" s="19">
        <v>1</v>
      </c>
      <c r="N57" s="19">
        <v>1</v>
      </c>
      <c r="O57" s="21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6.5" customHeight="1" x14ac:dyDescent="0.3">
      <c r="A58" s="104"/>
      <c r="B58" s="98"/>
      <c r="C58" s="95" t="s">
        <v>60</v>
      </c>
      <c r="D58" s="93"/>
      <c r="E58" s="95" t="s">
        <v>49</v>
      </c>
      <c r="F58" s="93"/>
      <c r="G58" s="19">
        <v>2</v>
      </c>
      <c r="H58" s="19">
        <v>2</v>
      </c>
      <c r="I58" s="19">
        <v>2</v>
      </c>
      <c r="J58" s="19">
        <v>2</v>
      </c>
      <c r="K58" s="19">
        <v>2</v>
      </c>
      <c r="L58" s="19">
        <v>2</v>
      </c>
      <c r="M58" s="19">
        <v>2</v>
      </c>
      <c r="N58" s="19">
        <v>2</v>
      </c>
      <c r="O58" s="24">
        <v>2</v>
      </c>
      <c r="P58" s="21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6.5" customHeight="1" x14ac:dyDescent="0.3">
      <c r="A59" s="104"/>
      <c r="B59" s="98"/>
      <c r="C59" s="95" t="s">
        <v>61</v>
      </c>
      <c r="D59" s="93"/>
      <c r="E59" s="95" t="s">
        <v>52</v>
      </c>
      <c r="F59" s="93"/>
      <c r="G59" s="19">
        <v>2</v>
      </c>
      <c r="H59" s="19">
        <v>2</v>
      </c>
      <c r="I59" s="19">
        <v>2</v>
      </c>
      <c r="J59" s="19">
        <v>2</v>
      </c>
      <c r="K59" s="19">
        <v>2</v>
      </c>
      <c r="L59" s="19">
        <v>2</v>
      </c>
      <c r="M59" s="19">
        <v>2</v>
      </c>
      <c r="N59" s="19">
        <v>2</v>
      </c>
      <c r="O59" s="24">
        <v>2</v>
      </c>
      <c r="P59" s="21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6.5" customHeight="1" x14ac:dyDescent="0.3">
      <c r="A60" s="104"/>
      <c r="B60" s="98"/>
      <c r="C60" s="95" t="s">
        <v>62</v>
      </c>
      <c r="D60" s="93"/>
      <c r="E60" s="95" t="s">
        <v>49</v>
      </c>
      <c r="F60" s="93"/>
      <c r="G60" s="19">
        <v>1</v>
      </c>
      <c r="H60" s="19">
        <v>1</v>
      </c>
      <c r="I60" s="19">
        <v>1</v>
      </c>
      <c r="J60" s="19">
        <v>1</v>
      </c>
      <c r="K60" s="19">
        <v>1</v>
      </c>
      <c r="L60" s="19">
        <v>1</v>
      </c>
      <c r="M60" s="19">
        <v>1</v>
      </c>
      <c r="N60" s="19">
        <v>1</v>
      </c>
      <c r="O60" s="24">
        <v>1</v>
      </c>
      <c r="P60" s="21">
        <v>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6.5" customHeight="1" x14ac:dyDescent="0.3">
      <c r="A61" s="104"/>
      <c r="B61" s="98"/>
      <c r="C61" s="95" t="s">
        <v>63</v>
      </c>
      <c r="D61" s="93"/>
      <c r="E61" s="95" t="s">
        <v>49</v>
      </c>
      <c r="F61" s="93"/>
      <c r="G61" s="19">
        <v>2</v>
      </c>
      <c r="H61" s="19">
        <v>2</v>
      </c>
      <c r="I61" s="19">
        <v>2</v>
      </c>
      <c r="J61" s="19">
        <v>2</v>
      </c>
      <c r="K61" s="19">
        <v>2</v>
      </c>
      <c r="L61" s="19">
        <v>2</v>
      </c>
      <c r="M61" s="19">
        <v>2</v>
      </c>
      <c r="N61" s="19">
        <v>2</v>
      </c>
      <c r="O61" s="24">
        <v>2</v>
      </c>
      <c r="P61" s="21">
        <v>0</v>
      </c>
      <c r="Q61" s="24">
        <v>0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6.5" customHeight="1" x14ac:dyDescent="0.3">
      <c r="A62" s="104"/>
      <c r="B62" s="98"/>
      <c r="C62" s="95" t="s">
        <v>64</v>
      </c>
      <c r="D62" s="93"/>
      <c r="E62" s="95" t="s">
        <v>52</v>
      </c>
      <c r="F62" s="93"/>
      <c r="G62" s="19">
        <v>4</v>
      </c>
      <c r="H62" s="19">
        <v>2</v>
      </c>
      <c r="I62" s="19">
        <v>2</v>
      </c>
      <c r="J62" s="19">
        <v>2</v>
      </c>
      <c r="K62" s="19">
        <v>2</v>
      </c>
      <c r="L62" s="19">
        <v>2</v>
      </c>
      <c r="M62" s="19">
        <v>2</v>
      </c>
      <c r="N62" s="19">
        <v>2</v>
      </c>
      <c r="O62" s="24">
        <v>2</v>
      </c>
      <c r="P62" s="21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6.5" customHeight="1" x14ac:dyDescent="0.3">
      <c r="A63" s="104"/>
      <c r="B63" s="98"/>
      <c r="C63" s="96"/>
      <c r="D63" s="93"/>
      <c r="E63" s="96"/>
      <c r="F63" s="93"/>
      <c r="G63" s="19"/>
      <c r="H63" s="19"/>
      <c r="I63" s="19"/>
      <c r="J63" s="19"/>
      <c r="K63" s="19"/>
      <c r="L63" s="19"/>
      <c r="M63" s="19"/>
      <c r="N63" s="19"/>
      <c r="O63" s="24"/>
      <c r="P63" s="22">
        <v>2</v>
      </c>
      <c r="Q63" s="24"/>
      <c r="R63" s="24"/>
      <c r="S63" s="24"/>
      <c r="T63" s="24"/>
      <c r="U63" s="24"/>
      <c r="V63" s="24"/>
      <c r="W63" s="24"/>
      <c r="X63" s="24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6.5" customHeight="1" x14ac:dyDescent="0.3">
      <c r="A64" s="104"/>
      <c r="B64" s="98"/>
      <c r="C64" s="95" t="s">
        <v>65</v>
      </c>
      <c r="D64" s="93"/>
      <c r="E64" s="95" t="s">
        <v>49</v>
      </c>
      <c r="F64" s="93"/>
      <c r="G64" s="19">
        <v>1</v>
      </c>
      <c r="H64" s="19">
        <v>1</v>
      </c>
      <c r="I64" s="19">
        <v>1</v>
      </c>
      <c r="J64" s="19">
        <v>1</v>
      </c>
      <c r="K64" s="19">
        <v>1</v>
      </c>
      <c r="L64" s="19">
        <v>1</v>
      </c>
      <c r="M64" s="19">
        <v>1</v>
      </c>
      <c r="N64" s="19">
        <v>1</v>
      </c>
      <c r="O64" s="24">
        <v>1</v>
      </c>
      <c r="P64" s="21">
        <v>0</v>
      </c>
      <c r="Q64" s="24">
        <v>0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6.5" customHeight="1" x14ac:dyDescent="0.3">
      <c r="A65" s="104"/>
      <c r="B65" s="98"/>
      <c r="C65" s="95" t="s">
        <v>66</v>
      </c>
      <c r="D65" s="93"/>
      <c r="E65" s="95" t="s">
        <v>49</v>
      </c>
      <c r="F65" s="93"/>
      <c r="G65" s="19">
        <v>1</v>
      </c>
      <c r="H65" s="19">
        <v>2</v>
      </c>
      <c r="I65" s="19">
        <v>2</v>
      </c>
      <c r="J65" s="19">
        <v>2</v>
      </c>
      <c r="K65" s="19">
        <v>2</v>
      </c>
      <c r="L65" s="19">
        <v>2</v>
      </c>
      <c r="M65" s="19">
        <v>2</v>
      </c>
      <c r="N65" s="19">
        <v>2</v>
      </c>
      <c r="O65" s="24">
        <v>2</v>
      </c>
      <c r="P65" s="21">
        <v>0</v>
      </c>
      <c r="Q65" s="24">
        <v>0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6.5" customHeight="1" x14ac:dyDescent="0.3">
      <c r="A66" s="104"/>
      <c r="B66" s="98"/>
      <c r="C66" s="96"/>
      <c r="D66" s="93"/>
      <c r="E66" s="96"/>
      <c r="F66" s="93"/>
      <c r="G66" s="19"/>
      <c r="H66" s="19"/>
      <c r="I66" s="19"/>
      <c r="J66" s="19"/>
      <c r="K66" s="19"/>
      <c r="L66" s="19"/>
      <c r="M66" s="19"/>
      <c r="N66" s="19"/>
      <c r="O66" s="24"/>
      <c r="P66" s="23">
        <v>1</v>
      </c>
      <c r="Q66" s="24"/>
      <c r="R66" s="24"/>
      <c r="S66" s="24"/>
      <c r="T66" s="24"/>
      <c r="U66" s="24"/>
      <c r="V66" s="24"/>
      <c r="W66" s="24"/>
      <c r="X66" s="24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6.5" customHeight="1" x14ac:dyDescent="0.3">
      <c r="A67" s="104"/>
      <c r="B67" s="98"/>
      <c r="C67" s="95" t="s">
        <v>67</v>
      </c>
      <c r="D67" s="93"/>
      <c r="E67" s="95" t="s">
        <v>52</v>
      </c>
      <c r="F67" s="93"/>
      <c r="G67" s="19">
        <v>2</v>
      </c>
      <c r="H67" s="19">
        <v>2</v>
      </c>
      <c r="I67" s="19">
        <v>2</v>
      </c>
      <c r="J67" s="19">
        <v>2</v>
      </c>
      <c r="K67" s="19">
        <v>2</v>
      </c>
      <c r="L67" s="19">
        <v>2</v>
      </c>
      <c r="M67" s="19">
        <v>2</v>
      </c>
      <c r="N67" s="19">
        <v>2</v>
      </c>
      <c r="O67" s="24">
        <v>2</v>
      </c>
      <c r="P67" s="21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6.5" customHeight="1" x14ac:dyDescent="0.3">
      <c r="A68" s="104"/>
      <c r="B68" s="98"/>
      <c r="C68" s="95" t="s">
        <v>68</v>
      </c>
      <c r="D68" s="93"/>
      <c r="E68" s="95" t="s">
        <v>49</v>
      </c>
      <c r="F68" s="93"/>
      <c r="G68" s="19">
        <v>1</v>
      </c>
      <c r="H68" s="19">
        <v>1</v>
      </c>
      <c r="I68" s="19">
        <v>1</v>
      </c>
      <c r="J68" s="19">
        <v>1</v>
      </c>
      <c r="K68" s="19">
        <v>1</v>
      </c>
      <c r="L68" s="19">
        <v>1</v>
      </c>
      <c r="M68" s="19">
        <v>1</v>
      </c>
      <c r="N68" s="19">
        <v>1</v>
      </c>
      <c r="O68" s="24">
        <v>1</v>
      </c>
      <c r="P68" s="24">
        <v>1</v>
      </c>
      <c r="Q68" s="21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6.5" customHeight="1" x14ac:dyDescent="0.3">
      <c r="A69" s="104"/>
      <c r="B69" s="98"/>
      <c r="C69" s="95" t="s">
        <v>69</v>
      </c>
      <c r="D69" s="93"/>
      <c r="E69" s="95" t="s">
        <v>49</v>
      </c>
      <c r="F69" s="93"/>
      <c r="G69" s="19">
        <v>2</v>
      </c>
      <c r="H69" s="19">
        <v>2</v>
      </c>
      <c r="I69" s="19">
        <v>2</v>
      </c>
      <c r="J69" s="19">
        <v>2</v>
      </c>
      <c r="K69" s="19">
        <v>2</v>
      </c>
      <c r="L69" s="19">
        <v>2</v>
      </c>
      <c r="M69" s="19">
        <v>2</v>
      </c>
      <c r="N69" s="19">
        <v>2</v>
      </c>
      <c r="O69" s="24">
        <v>2</v>
      </c>
      <c r="P69" s="24">
        <v>2</v>
      </c>
      <c r="Q69" s="21">
        <v>0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6.5" customHeight="1" x14ac:dyDescent="0.3">
      <c r="A70" s="104"/>
      <c r="B70" s="98"/>
      <c r="C70" s="95" t="s">
        <v>70</v>
      </c>
      <c r="D70" s="93"/>
      <c r="E70" s="95" t="s">
        <v>52</v>
      </c>
      <c r="F70" s="93"/>
      <c r="G70" s="19">
        <v>2</v>
      </c>
      <c r="H70" s="19">
        <v>1</v>
      </c>
      <c r="I70" s="19">
        <v>1</v>
      </c>
      <c r="J70" s="19">
        <v>1</v>
      </c>
      <c r="K70" s="19">
        <v>1</v>
      </c>
      <c r="L70" s="19">
        <v>1</v>
      </c>
      <c r="M70" s="19">
        <v>1</v>
      </c>
      <c r="N70" s="19">
        <v>1</v>
      </c>
      <c r="O70" s="24">
        <v>1</v>
      </c>
      <c r="P70" s="24">
        <v>1</v>
      </c>
      <c r="Q70" s="21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6.5" customHeight="1" x14ac:dyDescent="0.3">
      <c r="A71" s="104"/>
      <c r="B71" s="98"/>
      <c r="C71" s="96"/>
      <c r="D71" s="93"/>
      <c r="E71" s="96"/>
      <c r="F71" s="93"/>
      <c r="G71" s="19"/>
      <c r="H71" s="19"/>
      <c r="I71" s="19"/>
      <c r="J71" s="19"/>
      <c r="K71" s="19"/>
      <c r="L71" s="19"/>
      <c r="M71" s="19"/>
      <c r="N71" s="19"/>
      <c r="O71" s="24"/>
      <c r="P71" s="24"/>
      <c r="Q71" s="22">
        <v>1</v>
      </c>
      <c r="R71" s="24"/>
      <c r="S71" s="24"/>
      <c r="T71" s="24"/>
      <c r="U71" s="24"/>
      <c r="V71" s="24"/>
      <c r="W71" s="24"/>
      <c r="X71" s="24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6.5" customHeight="1" x14ac:dyDescent="0.3">
      <c r="A72" s="104"/>
      <c r="B72" s="98"/>
      <c r="C72" s="95" t="s">
        <v>71</v>
      </c>
      <c r="D72" s="93"/>
      <c r="E72" s="95" t="s">
        <v>49</v>
      </c>
      <c r="F72" s="93"/>
      <c r="G72" s="19">
        <v>1</v>
      </c>
      <c r="H72" s="19">
        <v>1</v>
      </c>
      <c r="I72" s="19">
        <v>1</v>
      </c>
      <c r="J72" s="19">
        <v>1</v>
      </c>
      <c r="K72" s="19">
        <v>1</v>
      </c>
      <c r="L72" s="19">
        <v>1</v>
      </c>
      <c r="M72" s="19">
        <v>1</v>
      </c>
      <c r="N72" s="19">
        <v>1</v>
      </c>
      <c r="O72" s="24">
        <v>1</v>
      </c>
      <c r="P72" s="24">
        <v>1</v>
      </c>
      <c r="Q72" s="21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6.5" customHeight="1" x14ac:dyDescent="0.3">
      <c r="A73" s="104"/>
      <c r="B73" s="98"/>
      <c r="C73" s="95" t="s">
        <v>72</v>
      </c>
      <c r="D73" s="93"/>
      <c r="E73" s="95" t="s">
        <v>49</v>
      </c>
      <c r="F73" s="93"/>
      <c r="G73" s="19">
        <v>2</v>
      </c>
      <c r="H73" s="19">
        <v>2</v>
      </c>
      <c r="I73" s="19">
        <v>2</v>
      </c>
      <c r="J73" s="19">
        <v>2</v>
      </c>
      <c r="K73" s="19">
        <v>2</v>
      </c>
      <c r="L73" s="19">
        <v>2</v>
      </c>
      <c r="M73" s="19">
        <v>2</v>
      </c>
      <c r="N73" s="19">
        <v>2</v>
      </c>
      <c r="O73" s="24">
        <v>2</v>
      </c>
      <c r="P73" s="24">
        <v>2</v>
      </c>
      <c r="Q73" s="21">
        <v>0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6.5" customHeight="1" x14ac:dyDescent="0.3">
      <c r="A74" s="104"/>
      <c r="B74" s="98"/>
      <c r="C74" s="95" t="s">
        <v>73</v>
      </c>
      <c r="D74" s="93"/>
      <c r="E74" s="95" t="s">
        <v>52</v>
      </c>
      <c r="F74" s="93"/>
      <c r="G74" s="19">
        <v>3</v>
      </c>
      <c r="H74" s="19">
        <v>3</v>
      </c>
      <c r="I74" s="19">
        <v>3</v>
      </c>
      <c r="J74" s="19">
        <v>3</v>
      </c>
      <c r="K74" s="19">
        <v>3</v>
      </c>
      <c r="L74" s="19">
        <v>3</v>
      </c>
      <c r="M74" s="19">
        <v>3</v>
      </c>
      <c r="N74" s="19">
        <v>3</v>
      </c>
      <c r="O74" s="24">
        <v>3</v>
      </c>
      <c r="P74" s="24">
        <v>3</v>
      </c>
      <c r="Q74" s="21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6.5" customHeight="1" x14ac:dyDescent="0.3">
      <c r="A75" s="104"/>
      <c r="B75" s="98"/>
      <c r="C75" s="95" t="s">
        <v>74</v>
      </c>
      <c r="D75" s="93"/>
      <c r="E75" s="95" t="s">
        <v>49</v>
      </c>
      <c r="F75" s="93"/>
      <c r="G75" s="19">
        <v>1</v>
      </c>
      <c r="H75" s="19">
        <v>1</v>
      </c>
      <c r="I75" s="19">
        <v>1</v>
      </c>
      <c r="J75" s="19">
        <v>1</v>
      </c>
      <c r="K75" s="19">
        <v>1</v>
      </c>
      <c r="L75" s="19">
        <v>1</v>
      </c>
      <c r="M75" s="19">
        <v>1</v>
      </c>
      <c r="N75" s="19">
        <v>1</v>
      </c>
      <c r="O75" s="24">
        <v>1</v>
      </c>
      <c r="P75" s="24">
        <v>1</v>
      </c>
      <c r="Q75" s="21">
        <v>0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6.5" customHeight="1" x14ac:dyDescent="0.3">
      <c r="A76" s="104"/>
      <c r="B76" s="98"/>
      <c r="C76" s="95" t="s">
        <v>75</v>
      </c>
      <c r="D76" s="93"/>
      <c r="E76" s="95" t="s">
        <v>49</v>
      </c>
      <c r="F76" s="93"/>
      <c r="G76" s="19">
        <v>2</v>
      </c>
      <c r="H76" s="19">
        <v>2</v>
      </c>
      <c r="I76" s="19">
        <v>2</v>
      </c>
      <c r="J76" s="19">
        <v>2</v>
      </c>
      <c r="K76" s="19">
        <v>2</v>
      </c>
      <c r="L76" s="19">
        <v>2</v>
      </c>
      <c r="M76" s="19">
        <v>2</v>
      </c>
      <c r="N76" s="19">
        <v>2</v>
      </c>
      <c r="O76" s="24">
        <v>2</v>
      </c>
      <c r="P76" s="24">
        <v>2</v>
      </c>
      <c r="Q76" s="21">
        <v>0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6.5" customHeight="1" x14ac:dyDescent="0.3">
      <c r="A77" s="104"/>
      <c r="B77" s="98"/>
      <c r="C77" s="95" t="s">
        <v>76</v>
      </c>
      <c r="D77" s="93"/>
      <c r="E77" s="95" t="s">
        <v>52</v>
      </c>
      <c r="F77" s="93"/>
      <c r="G77" s="19">
        <v>4</v>
      </c>
      <c r="H77" s="19">
        <v>2</v>
      </c>
      <c r="I77" s="19">
        <v>2</v>
      </c>
      <c r="J77" s="19">
        <v>2</v>
      </c>
      <c r="K77" s="19">
        <v>2</v>
      </c>
      <c r="L77" s="19">
        <v>2</v>
      </c>
      <c r="M77" s="19">
        <v>2</v>
      </c>
      <c r="N77" s="19">
        <v>2</v>
      </c>
      <c r="O77" s="24">
        <v>2</v>
      </c>
      <c r="P77" s="24">
        <v>2</v>
      </c>
      <c r="Q77" s="21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6.5" customHeight="1" x14ac:dyDescent="0.3">
      <c r="A78" s="104"/>
      <c r="B78" s="98"/>
      <c r="C78" s="95" t="s">
        <v>77</v>
      </c>
      <c r="D78" s="93"/>
      <c r="E78" s="95" t="s">
        <v>49</v>
      </c>
      <c r="F78" s="93"/>
      <c r="G78" s="19">
        <v>1</v>
      </c>
      <c r="H78" s="19">
        <v>1</v>
      </c>
      <c r="I78" s="19">
        <v>1</v>
      </c>
      <c r="J78" s="19">
        <v>1</v>
      </c>
      <c r="K78" s="19">
        <v>1</v>
      </c>
      <c r="L78" s="19">
        <v>1</v>
      </c>
      <c r="M78" s="19">
        <v>1</v>
      </c>
      <c r="N78" s="19">
        <v>1</v>
      </c>
      <c r="O78" s="24">
        <v>1</v>
      </c>
      <c r="P78" s="24">
        <v>1</v>
      </c>
      <c r="Q78" s="24">
        <v>1</v>
      </c>
      <c r="R78" s="21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6.5" customHeight="1" x14ac:dyDescent="0.3">
      <c r="A79" s="104"/>
      <c r="B79" s="98"/>
      <c r="C79" s="95" t="s">
        <v>78</v>
      </c>
      <c r="D79" s="93"/>
      <c r="E79" s="95" t="s">
        <v>49</v>
      </c>
      <c r="F79" s="93"/>
      <c r="G79" s="19">
        <v>2</v>
      </c>
      <c r="H79" s="19">
        <v>2</v>
      </c>
      <c r="I79" s="19">
        <v>2</v>
      </c>
      <c r="J79" s="19">
        <v>2</v>
      </c>
      <c r="K79" s="19">
        <v>2</v>
      </c>
      <c r="L79" s="19">
        <v>2</v>
      </c>
      <c r="M79" s="19">
        <v>2</v>
      </c>
      <c r="N79" s="19">
        <v>2</v>
      </c>
      <c r="O79" s="24">
        <v>2</v>
      </c>
      <c r="P79" s="24">
        <v>2</v>
      </c>
      <c r="Q79" s="24">
        <v>2</v>
      </c>
      <c r="R79" s="21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6.5" customHeight="1" x14ac:dyDescent="0.3">
      <c r="A80" s="104"/>
      <c r="B80" s="98"/>
      <c r="C80" s="95" t="s">
        <v>79</v>
      </c>
      <c r="D80" s="93"/>
      <c r="E80" s="95" t="s">
        <v>52</v>
      </c>
      <c r="F80" s="93"/>
      <c r="G80" s="19">
        <v>2</v>
      </c>
      <c r="H80" s="19">
        <v>2</v>
      </c>
      <c r="I80" s="19">
        <v>2</v>
      </c>
      <c r="J80" s="19">
        <v>2</v>
      </c>
      <c r="K80" s="19">
        <v>2</v>
      </c>
      <c r="L80" s="19">
        <v>2</v>
      </c>
      <c r="M80" s="19">
        <v>2</v>
      </c>
      <c r="N80" s="19">
        <v>2</v>
      </c>
      <c r="O80" s="24">
        <v>2</v>
      </c>
      <c r="P80" s="24">
        <v>2</v>
      </c>
      <c r="Q80" s="24">
        <v>2</v>
      </c>
      <c r="R80" s="21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6.5" customHeight="1" x14ac:dyDescent="0.3">
      <c r="A81" s="104"/>
      <c r="B81" s="98"/>
      <c r="C81" s="95" t="s">
        <v>80</v>
      </c>
      <c r="D81" s="93"/>
      <c r="E81" s="95" t="s">
        <v>49</v>
      </c>
      <c r="F81" s="93"/>
      <c r="G81" s="19">
        <v>1</v>
      </c>
      <c r="H81" s="19">
        <v>1</v>
      </c>
      <c r="I81" s="19">
        <v>1</v>
      </c>
      <c r="J81" s="19">
        <v>1</v>
      </c>
      <c r="K81" s="19">
        <v>1</v>
      </c>
      <c r="L81" s="19">
        <v>1</v>
      </c>
      <c r="M81" s="19">
        <v>1</v>
      </c>
      <c r="N81" s="19">
        <v>1</v>
      </c>
      <c r="O81" s="24">
        <v>1</v>
      </c>
      <c r="P81" s="24">
        <v>1</v>
      </c>
      <c r="Q81" s="24">
        <v>1</v>
      </c>
      <c r="R81" s="21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6.5" customHeight="1" x14ac:dyDescent="0.3">
      <c r="A82" s="104"/>
      <c r="B82" s="98"/>
      <c r="C82" s="95" t="s">
        <v>81</v>
      </c>
      <c r="D82" s="93"/>
      <c r="E82" s="95" t="s">
        <v>49</v>
      </c>
      <c r="F82" s="93"/>
      <c r="G82" s="19">
        <v>2</v>
      </c>
      <c r="H82" s="19">
        <v>2</v>
      </c>
      <c r="I82" s="19">
        <v>2</v>
      </c>
      <c r="J82" s="19">
        <v>2</v>
      </c>
      <c r="K82" s="19">
        <v>2</v>
      </c>
      <c r="L82" s="19">
        <v>2</v>
      </c>
      <c r="M82" s="19">
        <v>2</v>
      </c>
      <c r="N82" s="19">
        <v>2</v>
      </c>
      <c r="O82" s="24">
        <v>2</v>
      </c>
      <c r="P82" s="24">
        <v>2</v>
      </c>
      <c r="Q82" s="24">
        <v>2</v>
      </c>
      <c r="R82" s="21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6.5" customHeight="1" x14ac:dyDescent="0.3">
      <c r="A83" s="104"/>
      <c r="B83" s="98"/>
      <c r="C83" s="95" t="s">
        <v>82</v>
      </c>
      <c r="D83" s="93"/>
      <c r="E83" s="95" t="s">
        <v>52</v>
      </c>
      <c r="F83" s="93"/>
      <c r="G83" s="19">
        <v>2</v>
      </c>
      <c r="H83" s="19">
        <v>2</v>
      </c>
      <c r="I83" s="19">
        <v>2</v>
      </c>
      <c r="J83" s="19">
        <v>2</v>
      </c>
      <c r="K83" s="19">
        <v>2</v>
      </c>
      <c r="L83" s="19">
        <v>2</v>
      </c>
      <c r="M83" s="19">
        <v>2</v>
      </c>
      <c r="N83" s="19">
        <v>2</v>
      </c>
      <c r="O83" s="24">
        <v>2</v>
      </c>
      <c r="P83" s="24">
        <v>2</v>
      </c>
      <c r="Q83" s="24">
        <v>2</v>
      </c>
      <c r="R83" s="21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6.5" customHeight="1" x14ac:dyDescent="0.3">
      <c r="A84" s="104"/>
      <c r="B84" s="98"/>
      <c r="C84" s="95" t="s">
        <v>83</v>
      </c>
      <c r="D84" s="93"/>
      <c r="E84" s="95" t="s">
        <v>49</v>
      </c>
      <c r="F84" s="93"/>
      <c r="G84" s="19">
        <v>1</v>
      </c>
      <c r="H84" s="19">
        <v>1</v>
      </c>
      <c r="I84" s="19">
        <v>1</v>
      </c>
      <c r="J84" s="19">
        <v>1</v>
      </c>
      <c r="K84" s="19">
        <v>1</v>
      </c>
      <c r="L84" s="19">
        <v>1</v>
      </c>
      <c r="M84" s="19">
        <v>1</v>
      </c>
      <c r="N84" s="19">
        <v>1</v>
      </c>
      <c r="O84" s="24">
        <v>1</v>
      </c>
      <c r="P84" s="24">
        <v>1</v>
      </c>
      <c r="Q84" s="24">
        <v>1</v>
      </c>
      <c r="R84" s="21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6.5" customHeight="1" x14ac:dyDescent="0.3">
      <c r="A85" s="104"/>
      <c r="B85" s="98"/>
      <c r="C85" s="95" t="s">
        <v>84</v>
      </c>
      <c r="D85" s="93"/>
      <c r="E85" s="95" t="s">
        <v>49</v>
      </c>
      <c r="F85" s="93"/>
      <c r="G85" s="19">
        <v>2</v>
      </c>
      <c r="H85" s="19">
        <v>2</v>
      </c>
      <c r="I85" s="19">
        <v>2</v>
      </c>
      <c r="J85" s="19">
        <v>2</v>
      </c>
      <c r="K85" s="19">
        <v>2</v>
      </c>
      <c r="L85" s="19">
        <v>2</v>
      </c>
      <c r="M85" s="19">
        <v>2</v>
      </c>
      <c r="N85" s="19">
        <v>2</v>
      </c>
      <c r="O85" s="24">
        <v>2</v>
      </c>
      <c r="P85" s="24">
        <v>2</v>
      </c>
      <c r="Q85" s="24">
        <v>2</v>
      </c>
      <c r="R85" s="21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6.5" customHeight="1" x14ac:dyDescent="0.3">
      <c r="A86" s="104"/>
      <c r="B86" s="99"/>
      <c r="C86" s="95" t="s">
        <v>85</v>
      </c>
      <c r="D86" s="93"/>
      <c r="E86" s="95" t="s">
        <v>52</v>
      </c>
      <c r="F86" s="93"/>
      <c r="G86" s="19">
        <v>3</v>
      </c>
      <c r="H86" s="19">
        <v>3</v>
      </c>
      <c r="I86" s="19">
        <v>3</v>
      </c>
      <c r="J86" s="19">
        <v>3</v>
      </c>
      <c r="K86" s="19">
        <v>3</v>
      </c>
      <c r="L86" s="19">
        <v>3</v>
      </c>
      <c r="M86" s="19">
        <v>3</v>
      </c>
      <c r="N86" s="19">
        <v>3</v>
      </c>
      <c r="O86" s="24">
        <v>3</v>
      </c>
      <c r="P86" s="24">
        <v>3</v>
      </c>
      <c r="Q86" s="24">
        <v>3</v>
      </c>
      <c r="R86" s="21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6.5" customHeight="1" x14ac:dyDescent="0.3">
      <c r="A87" s="104"/>
      <c r="B87" s="105" t="s">
        <v>86</v>
      </c>
      <c r="C87" s="95" t="s">
        <v>87</v>
      </c>
      <c r="D87" s="93"/>
      <c r="E87" s="95" t="s">
        <v>27</v>
      </c>
      <c r="F87" s="93"/>
      <c r="G87" s="19">
        <v>2</v>
      </c>
      <c r="H87" s="19">
        <v>2</v>
      </c>
      <c r="I87" s="19">
        <v>2</v>
      </c>
      <c r="J87" s="19">
        <v>2</v>
      </c>
      <c r="K87" s="19">
        <v>2</v>
      </c>
      <c r="L87" s="19">
        <v>2</v>
      </c>
      <c r="M87" s="19">
        <v>2</v>
      </c>
      <c r="N87" s="19">
        <v>2</v>
      </c>
      <c r="O87" s="24">
        <v>2</v>
      </c>
      <c r="P87" s="24">
        <v>2</v>
      </c>
      <c r="Q87" s="24">
        <v>2</v>
      </c>
      <c r="R87" s="24">
        <v>2</v>
      </c>
      <c r="S87" s="21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6.5" customHeight="1" x14ac:dyDescent="0.3">
      <c r="A88" s="104"/>
      <c r="B88" s="98"/>
      <c r="C88" s="95" t="s">
        <v>88</v>
      </c>
      <c r="D88" s="93"/>
      <c r="E88" s="95" t="s">
        <v>44</v>
      </c>
      <c r="F88" s="93"/>
      <c r="G88" s="19">
        <v>1</v>
      </c>
      <c r="H88" s="19">
        <v>1</v>
      </c>
      <c r="I88" s="19">
        <v>1</v>
      </c>
      <c r="J88" s="19">
        <v>1</v>
      </c>
      <c r="K88" s="19">
        <v>1</v>
      </c>
      <c r="L88" s="19">
        <v>1</v>
      </c>
      <c r="M88" s="19">
        <v>1</v>
      </c>
      <c r="N88" s="19">
        <v>1</v>
      </c>
      <c r="O88" s="24">
        <v>1</v>
      </c>
      <c r="P88" s="24">
        <v>1</v>
      </c>
      <c r="Q88" s="24">
        <v>1</v>
      </c>
      <c r="R88" s="24">
        <v>1</v>
      </c>
      <c r="S88" s="21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6.5" customHeight="1" x14ac:dyDescent="0.3">
      <c r="A89" s="104"/>
      <c r="B89" s="98"/>
      <c r="C89" s="95" t="s">
        <v>89</v>
      </c>
      <c r="D89" s="93"/>
      <c r="E89" s="95" t="s">
        <v>27</v>
      </c>
      <c r="F89" s="93"/>
      <c r="G89" s="19">
        <v>1</v>
      </c>
      <c r="H89" s="19">
        <v>3</v>
      </c>
      <c r="I89" s="19">
        <v>3</v>
      </c>
      <c r="J89" s="19">
        <v>3</v>
      </c>
      <c r="K89" s="19">
        <v>3</v>
      </c>
      <c r="L89" s="19">
        <v>3</v>
      </c>
      <c r="M89" s="19">
        <v>3</v>
      </c>
      <c r="N89" s="19">
        <v>3</v>
      </c>
      <c r="O89" s="24">
        <v>3</v>
      </c>
      <c r="P89" s="24">
        <v>3</v>
      </c>
      <c r="Q89" s="24">
        <v>3</v>
      </c>
      <c r="R89" s="24">
        <v>3</v>
      </c>
      <c r="S89" s="21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6.5" customHeight="1" x14ac:dyDescent="0.3">
      <c r="A90" s="104"/>
      <c r="B90" s="98"/>
      <c r="C90" s="95" t="s">
        <v>90</v>
      </c>
      <c r="D90" s="93"/>
      <c r="E90" s="95" t="s">
        <v>44</v>
      </c>
      <c r="F90" s="93"/>
      <c r="G90" s="19">
        <v>1</v>
      </c>
      <c r="H90" s="19">
        <v>1</v>
      </c>
      <c r="I90" s="19">
        <v>1</v>
      </c>
      <c r="J90" s="19">
        <v>1</v>
      </c>
      <c r="K90" s="19">
        <v>1</v>
      </c>
      <c r="L90" s="19">
        <v>1</v>
      </c>
      <c r="M90" s="19">
        <v>1</v>
      </c>
      <c r="N90" s="19">
        <v>1</v>
      </c>
      <c r="O90" s="24">
        <v>1</v>
      </c>
      <c r="P90" s="24">
        <v>1</v>
      </c>
      <c r="Q90" s="24">
        <v>1</v>
      </c>
      <c r="R90" s="24">
        <v>1</v>
      </c>
      <c r="S90" s="21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6.5" customHeight="1" x14ac:dyDescent="0.3">
      <c r="A91" s="104"/>
      <c r="B91" s="98"/>
      <c r="C91" s="95" t="s">
        <v>91</v>
      </c>
      <c r="D91" s="93"/>
      <c r="E91" s="95" t="s">
        <v>45</v>
      </c>
      <c r="F91" s="93"/>
      <c r="G91" s="19">
        <v>3</v>
      </c>
      <c r="H91" s="19">
        <v>3</v>
      </c>
      <c r="I91" s="19">
        <v>3</v>
      </c>
      <c r="J91" s="19">
        <v>3</v>
      </c>
      <c r="K91" s="19">
        <v>3</v>
      </c>
      <c r="L91" s="19">
        <v>3</v>
      </c>
      <c r="M91" s="19">
        <v>3</v>
      </c>
      <c r="N91" s="19">
        <v>3</v>
      </c>
      <c r="O91" s="24">
        <v>3</v>
      </c>
      <c r="P91" s="24">
        <v>3</v>
      </c>
      <c r="Q91" s="24">
        <v>3</v>
      </c>
      <c r="R91" s="24">
        <v>3</v>
      </c>
      <c r="S91" s="21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6.5" customHeight="1" x14ac:dyDescent="0.3">
      <c r="A92" s="104"/>
      <c r="B92" s="98"/>
      <c r="C92" s="95" t="s">
        <v>92</v>
      </c>
      <c r="D92" s="93"/>
      <c r="E92" s="95" t="s">
        <v>44</v>
      </c>
      <c r="F92" s="93"/>
      <c r="G92" s="19">
        <v>1</v>
      </c>
      <c r="H92" s="19">
        <v>1</v>
      </c>
      <c r="I92" s="19">
        <v>1</v>
      </c>
      <c r="J92" s="19">
        <v>1</v>
      </c>
      <c r="K92" s="19">
        <v>1</v>
      </c>
      <c r="L92" s="19">
        <v>1</v>
      </c>
      <c r="M92" s="19">
        <v>1</v>
      </c>
      <c r="N92" s="19">
        <v>1</v>
      </c>
      <c r="O92" s="24">
        <v>1</v>
      </c>
      <c r="P92" s="24">
        <v>1</v>
      </c>
      <c r="Q92" s="24">
        <v>1</v>
      </c>
      <c r="R92" s="24">
        <v>1</v>
      </c>
      <c r="S92" s="21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6.5" customHeight="1" x14ac:dyDescent="0.3">
      <c r="A93" s="104"/>
      <c r="B93" s="98"/>
      <c r="C93" s="95" t="s">
        <v>93</v>
      </c>
      <c r="D93" s="93"/>
      <c r="E93" s="95" t="s">
        <v>44</v>
      </c>
      <c r="F93" s="93"/>
      <c r="G93" s="19">
        <v>1</v>
      </c>
      <c r="H93" s="19">
        <v>1</v>
      </c>
      <c r="I93" s="19">
        <v>1</v>
      </c>
      <c r="J93" s="19">
        <v>1</v>
      </c>
      <c r="K93" s="19">
        <v>1</v>
      </c>
      <c r="L93" s="19">
        <v>1</v>
      </c>
      <c r="M93" s="19">
        <v>1</v>
      </c>
      <c r="N93" s="19">
        <v>1</v>
      </c>
      <c r="O93" s="24">
        <v>1</v>
      </c>
      <c r="P93" s="24">
        <v>1</v>
      </c>
      <c r="Q93" s="24">
        <v>1</v>
      </c>
      <c r="R93" s="24">
        <v>1</v>
      </c>
      <c r="S93" s="21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6.5" customHeight="1" x14ac:dyDescent="0.3">
      <c r="A94" s="104"/>
      <c r="B94" s="98"/>
      <c r="C94" s="95" t="s">
        <v>94</v>
      </c>
      <c r="D94" s="93"/>
      <c r="E94" s="95" t="s">
        <v>27</v>
      </c>
      <c r="F94" s="93"/>
      <c r="G94" s="19">
        <v>2</v>
      </c>
      <c r="H94" s="19">
        <v>3</v>
      </c>
      <c r="I94" s="19">
        <v>3</v>
      </c>
      <c r="J94" s="19">
        <v>3</v>
      </c>
      <c r="K94" s="19">
        <v>3</v>
      </c>
      <c r="L94" s="19">
        <v>3</v>
      </c>
      <c r="M94" s="19">
        <v>3</v>
      </c>
      <c r="N94" s="19">
        <v>3</v>
      </c>
      <c r="O94" s="24">
        <v>3</v>
      </c>
      <c r="P94" s="24">
        <v>3</v>
      </c>
      <c r="Q94" s="24">
        <v>3</v>
      </c>
      <c r="R94" s="24">
        <v>3</v>
      </c>
      <c r="S94" s="21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6.5" customHeight="1" x14ac:dyDescent="0.3">
      <c r="A95" s="104"/>
      <c r="B95" s="98"/>
      <c r="C95" s="96"/>
      <c r="D95" s="93"/>
      <c r="E95" s="96"/>
      <c r="F95" s="93"/>
      <c r="G95" s="19"/>
      <c r="H95" s="19"/>
      <c r="I95" s="19"/>
      <c r="J95" s="19"/>
      <c r="K95" s="19"/>
      <c r="L95" s="19"/>
      <c r="M95" s="19"/>
      <c r="N95" s="19"/>
      <c r="O95" s="24"/>
      <c r="P95" s="24"/>
      <c r="Q95" s="24"/>
      <c r="R95" s="24"/>
      <c r="S95" s="23">
        <v>1</v>
      </c>
      <c r="T95" s="24"/>
      <c r="U95" s="24"/>
      <c r="V95" s="24"/>
      <c r="W95" s="24"/>
      <c r="X95" s="24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6.5" customHeight="1" x14ac:dyDescent="0.3">
      <c r="A96" s="104"/>
      <c r="B96" s="98"/>
      <c r="C96" s="95" t="s">
        <v>95</v>
      </c>
      <c r="D96" s="93"/>
      <c r="E96" s="95" t="s">
        <v>46</v>
      </c>
      <c r="F96" s="93"/>
      <c r="G96" s="19">
        <v>1</v>
      </c>
      <c r="H96" s="19">
        <v>1</v>
      </c>
      <c r="I96" s="19">
        <v>1</v>
      </c>
      <c r="J96" s="19">
        <v>1</v>
      </c>
      <c r="K96" s="19">
        <v>1</v>
      </c>
      <c r="L96" s="19">
        <v>1</v>
      </c>
      <c r="M96" s="19">
        <v>1</v>
      </c>
      <c r="N96" s="19">
        <v>1</v>
      </c>
      <c r="O96" s="24">
        <v>1</v>
      </c>
      <c r="P96" s="24">
        <v>1</v>
      </c>
      <c r="Q96" s="24">
        <v>1</v>
      </c>
      <c r="R96" s="24">
        <v>1</v>
      </c>
      <c r="S96" s="21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6.5" customHeight="1" x14ac:dyDescent="0.3">
      <c r="A97" s="104"/>
      <c r="B97" s="98"/>
      <c r="C97" s="95" t="s">
        <v>96</v>
      </c>
      <c r="D97" s="93"/>
      <c r="E97" s="95" t="s">
        <v>44</v>
      </c>
      <c r="F97" s="93"/>
      <c r="G97" s="19">
        <v>1</v>
      </c>
      <c r="H97" s="19">
        <v>1</v>
      </c>
      <c r="I97" s="19">
        <v>1</v>
      </c>
      <c r="J97" s="19">
        <v>1</v>
      </c>
      <c r="K97" s="19">
        <v>1</v>
      </c>
      <c r="L97" s="19">
        <v>1</v>
      </c>
      <c r="M97" s="19">
        <v>1</v>
      </c>
      <c r="N97" s="19">
        <v>1</v>
      </c>
      <c r="O97" s="24">
        <v>1</v>
      </c>
      <c r="P97" s="24">
        <v>1</v>
      </c>
      <c r="Q97" s="24">
        <v>1</v>
      </c>
      <c r="R97" s="24">
        <v>1</v>
      </c>
      <c r="S97" s="21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6.5" customHeight="1" x14ac:dyDescent="0.3">
      <c r="A98" s="104"/>
      <c r="B98" s="98"/>
      <c r="C98" s="117" t="s">
        <v>97</v>
      </c>
      <c r="D98" s="93"/>
      <c r="E98" s="95" t="s">
        <v>45</v>
      </c>
      <c r="F98" s="93"/>
      <c r="G98" s="19">
        <v>2</v>
      </c>
      <c r="H98" s="19">
        <v>2</v>
      </c>
      <c r="I98" s="19">
        <v>2</v>
      </c>
      <c r="J98" s="19">
        <v>2</v>
      </c>
      <c r="K98" s="19">
        <v>2</v>
      </c>
      <c r="L98" s="19">
        <v>2</v>
      </c>
      <c r="M98" s="19">
        <v>2</v>
      </c>
      <c r="N98" s="19">
        <v>2</v>
      </c>
      <c r="O98" s="24">
        <v>2</v>
      </c>
      <c r="P98" s="24">
        <v>2</v>
      </c>
      <c r="Q98" s="24">
        <v>2</v>
      </c>
      <c r="R98" s="24">
        <v>2</v>
      </c>
      <c r="S98" s="21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6.5" customHeight="1" x14ac:dyDescent="0.3">
      <c r="A99" s="104"/>
      <c r="B99" s="99"/>
      <c r="C99" s="117" t="s">
        <v>98</v>
      </c>
      <c r="D99" s="93"/>
      <c r="E99" s="95" t="s">
        <v>44</v>
      </c>
      <c r="F99" s="93"/>
      <c r="G99" s="19">
        <v>1</v>
      </c>
      <c r="H99" s="19">
        <v>1</v>
      </c>
      <c r="I99" s="19">
        <v>1</v>
      </c>
      <c r="J99" s="19">
        <v>1</v>
      </c>
      <c r="K99" s="19">
        <v>1</v>
      </c>
      <c r="L99" s="19">
        <v>1</v>
      </c>
      <c r="M99" s="19">
        <v>1</v>
      </c>
      <c r="N99" s="19">
        <v>1</v>
      </c>
      <c r="O99" s="24">
        <v>1</v>
      </c>
      <c r="P99" s="24">
        <v>1</v>
      </c>
      <c r="Q99" s="24">
        <v>1</v>
      </c>
      <c r="R99" s="24">
        <v>1</v>
      </c>
      <c r="S99" s="21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6.5" customHeight="1" x14ac:dyDescent="0.3">
      <c r="A100" s="104"/>
      <c r="B100" s="97" t="s">
        <v>99</v>
      </c>
      <c r="C100" s="95" t="s">
        <v>100</v>
      </c>
      <c r="D100" s="93"/>
      <c r="E100" s="95" t="s">
        <v>27</v>
      </c>
      <c r="F100" s="93"/>
      <c r="G100" s="19">
        <v>1</v>
      </c>
      <c r="H100" s="19">
        <v>1</v>
      </c>
      <c r="I100" s="19">
        <v>1</v>
      </c>
      <c r="J100" s="19">
        <v>1</v>
      </c>
      <c r="K100" s="19">
        <v>1</v>
      </c>
      <c r="L100" s="19">
        <v>1</v>
      </c>
      <c r="M100" s="19">
        <v>1</v>
      </c>
      <c r="N100" s="19">
        <v>1</v>
      </c>
      <c r="O100" s="24">
        <v>1</v>
      </c>
      <c r="P100" s="24">
        <v>1</v>
      </c>
      <c r="Q100" s="24">
        <v>1</v>
      </c>
      <c r="R100" s="24">
        <v>1</v>
      </c>
      <c r="S100" s="24">
        <v>1</v>
      </c>
      <c r="T100" s="21">
        <v>0</v>
      </c>
      <c r="U100" s="24">
        <v>0</v>
      </c>
      <c r="V100" s="24">
        <v>0</v>
      </c>
      <c r="W100" s="24">
        <v>0</v>
      </c>
      <c r="X100" s="24">
        <v>0</v>
      </c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6.5" customHeight="1" x14ac:dyDescent="0.3">
      <c r="A101" s="104"/>
      <c r="B101" s="98"/>
      <c r="C101" s="95" t="s">
        <v>101</v>
      </c>
      <c r="D101" s="93"/>
      <c r="E101" s="95" t="s">
        <v>27</v>
      </c>
      <c r="F101" s="93"/>
      <c r="G101" s="19">
        <v>1</v>
      </c>
      <c r="H101" s="19">
        <v>1</v>
      </c>
      <c r="I101" s="19">
        <v>1</v>
      </c>
      <c r="J101" s="19">
        <v>1</v>
      </c>
      <c r="K101" s="19">
        <v>1</v>
      </c>
      <c r="L101" s="19">
        <v>1</v>
      </c>
      <c r="M101" s="19">
        <v>1</v>
      </c>
      <c r="N101" s="19">
        <v>1</v>
      </c>
      <c r="O101" s="24">
        <v>1</v>
      </c>
      <c r="P101" s="24">
        <v>1</v>
      </c>
      <c r="Q101" s="24">
        <v>1</v>
      </c>
      <c r="R101" s="24">
        <v>1</v>
      </c>
      <c r="S101" s="24">
        <v>1</v>
      </c>
      <c r="T101" s="21">
        <v>0</v>
      </c>
      <c r="U101" s="24">
        <v>0</v>
      </c>
      <c r="V101" s="24">
        <v>0</v>
      </c>
      <c r="W101" s="24">
        <v>0</v>
      </c>
      <c r="X101" s="24">
        <v>0</v>
      </c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6.5" customHeight="1" x14ac:dyDescent="0.3">
      <c r="A102" s="104"/>
      <c r="B102" s="98"/>
      <c r="C102" s="95" t="s">
        <v>102</v>
      </c>
      <c r="D102" s="93"/>
      <c r="E102" s="95" t="s">
        <v>27</v>
      </c>
      <c r="F102" s="93"/>
      <c r="G102" s="19">
        <v>2</v>
      </c>
      <c r="H102" s="19">
        <v>2</v>
      </c>
      <c r="I102" s="19">
        <v>2</v>
      </c>
      <c r="J102" s="19">
        <v>2</v>
      </c>
      <c r="K102" s="19">
        <v>2</v>
      </c>
      <c r="L102" s="19">
        <v>2</v>
      </c>
      <c r="M102" s="19">
        <v>2</v>
      </c>
      <c r="N102" s="19">
        <v>2</v>
      </c>
      <c r="O102" s="24">
        <v>2</v>
      </c>
      <c r="P102" s="24">
        <v>2</v>
      </c>
      <c r="Q102" s="24">
        <v>2</v>
      </c>
      <c r="R102" s="24">
        <v>2</v>
      </c>
      <c r="S102" s="24">
        <v>2</v>
      </c>
      <c r="T102" s="21">
        <v>0</v>
      </c>
      <c r="U102" s="24">
        <v>0</v>
      </c>
      <c r="V102" s="24">
        <v>0</v>
      </c>
      <c r="W102" s="24">
        <v>0</v>
      </c>
      <c r="X102" s="24">
        <v>0</v>
      </c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6.5" customHeight="1" x14ac:dyDescent="0.3">
      <c r="A103" s="104"/>
      <c r="B103" s="98"/>
      <c r="C103" s="95" t="s">
        <v>103</v>
      </c>
      <c r="D103" s="93"/>
      <c r="E103" s="95" t="s">
        <v>104</v>
      </c>
      <c r="F103" s="93"/>
      <c r="G103" s="19">
        <v>1</v>
      </c>
      <c r="H103" s="19">
        <v>1</v>
      </c>
      <c r="I103" s="19">
        <v>1</v>
      </c>
      <c r="J103" s="19">
        <v>1</v>
      </c>
      <c r="K103" s="19">
        <v>1</v>
      </c>
      <c r="L103" s="19">
        <v>1</v>
      </c>
      <c r="M103" s="19">
        <v>1</v>
      </c>
      <c r="N103" s="19">
        <v>1</v>
      </c>
      <c r="O103" s="24">
        <v>1</v>
      </c>
      <c r="P103" s="24">
        <v>1</v>
      </c>
      <c r="Q103" s="24">
        <v>1</v>
      </c>
      <c r="R103" s="24">
        <v>1</v>
      </c>
      <c r="S103" s="24">
        <v>1</v>
      </c>
      <c r="T103" s="21">
        <v>0</v>
      </c>
      <c r="U103" s="24">
        <v>0</v>
      </c>
      <c r="V103" s="24">
        <v>0</v>
      </c>
      <c r="W103" s="24">
        <v>0</v>
      </c>
      <c r="X103" s="24">
        <v>0</v>
      </c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6.5" customHeight="1" x14ac:dyDescent="0.3">
      <c r="A104" s="104"/>
      <c r="B104" s="98"/>
      <c r="C104" s="95" t="s">
        <v>105</v>
      </c>
      <c r="D104" s="93"/>
      <c r="E104" s="95" t="s">
        <v>45</v>
      </c>
      <c r="F104" s="93"/>
      <c r="G104" s="19">
        <v>2</v>
      </c>
      <c r="H104" s="19">
        <v>2</v>
      </c>
      <c r="I104" s="19">
        <v>2</v>
      </c>
      <c r="J104" s="19">
        <v>2</v>
      </c>
      <c r="K104" s="19">
        <v>2</v>
      </c>
      <c r="L104" s="19">
        <v>2</v>
      </c>
      <c r="M104" s="19">
        <v>2</v>
      </c>
      <c r="N104" s="19">
        <v>2</v>
      </c>
      <c r="O104" s="24">
        <v>2</v>
      </c>
      <c r="P104" s="24">
        <v>2</v>
      </c>
      <c r="Q104" s="24">
        <v>2</v>
      </c>
      <c r="R104" s="24">
        <v>2</v>
      </c>
      <c r="S104" s="24">
        <v>2</v>
      </c>
      <c r="T104" s="21">
        <v>0</v>
      </c>
      <c r="U104" s="24">
        <v>0</v>
      </c>
      <c r="V104" s="24">
        <v>0</v>
      </c>
      <c r="W104" s="24">
        <v>0</v>
      </c>
      <c r="X104" s="24">
        <v>0</v>
      </c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6.5" customHeight="1" x14ac:dyDescent="0.3">
      <c r="A105" s="104"/>
      <c r="B105" s="98"/>
      <c r="C105" s="95" t="s">
        <v>106</v>
      </c>
      <c r="D105" s="93"/>
      <c r="E105" s="95" t="s">
        <v>49</v>
      </c>
      <c r="F105" s="93"/>
      <c r="G105" s="19">
        <v>1</v>
      </c>
      <c r="H105" s="19">
        <v>1</v>
      </c>
      <c r="I105" s="19">
        <v>1</v>
      </c>
      <c r="J105" s="19">
        <v>1</v>
      </c>
      <c r="K105" s="19">
        <v>1</v>
      </c>
      <c r="L105" s="19">
        <v>1</v>
      </c>
      <c r="M105" s="19">
        <v>1</v>
      </c>
      <c r="N105" s="19">
        <v>1</v>
      </c>
      <c r="O105" s="19">
        <v>1</v>
      </c>
      <c r="P105" s="19">
        <v>1</v>
      </c>
      <c r="Q105" s="19">
        <v>1</v>
      </c>
      <c r="R105" s="19">
        <v>1</v>
      </c>
      <c r="S105" s="19">
        <v>1</v>
      </c>
      <c r="T105" s="21">
        <v>0</v>
      </c>
      <c r="U105" s="24">
        <v>0</v>
      </c>
      <c r="V105" s="24">
        <v>0</v>
      </c>
      <c r="W105" s="24">
        <v>0</v>
      </c>
      <c r="X105" s="19">
        <v>0</v>
      </c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6.5" customHeight="1" x14ac:dyDescent="0.3">
      <c r="A106" s="104"/>
      <c r="B106" s="98"/>
      <c r="C106" s="95" t="s">
        <v>107</v>
      </c>
      <c r="D106" s="93"/>
      <c r="E106" s="95" t="s">
        <v>104</v>
      </c>
      <c r="F106" s="93"/>
      <c r="G106" s="19">
        <v>1</v>
      </c>
      <c r="H106" s="19">
        <v>1</v>
      </c>
      <c r="I106" s="19">
        <v>1</v>
      </c>
      <c r="J106" s="19">
        <v>1</v>
      </c>
      <c r="K106" s="19">
        <v>1</v>
      </c>
      <c r="L106" s="19">
        <v>1</v>
      </c>
      <c r="M106" s="19">
        <v>1</v>
      </c>
      <c r="N106" s="19">
        <v>1</v>
      </c>
      <c r="O106" s="19">
        <v>1</v>
      </c>
      <c r="P106" s="19">
        <v>1</v>
      </c>
      <c r="Q106" s="19">
        <v>1</v>
      </c>
      <c r="R106" s="19">
        <v>1</v>
      </c>
      <c r="S106" s="19">
        <v>1</v>
      </c>
      <c r="T106" s="21">
        <v>0</v>
      </c>
      <c r="U106" s="24">
        <v>0</v>
      </c>
      <c r="V106" s="24">
        <v>0</v>
      </c>
      <c r="W106" s="24">
        <v>0</v>
      </c>
      <c r="X106" s="19">
        <v>0</v>
      </c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6.5" customHeight="1" x14ac:dyDescent="0.3">
      <c r="A107" s="104"/>
      <c r="B107" s="98"/>
      <c r="C107" s="95" t="s">
        <v>108</v>
      </c>
      <c r="D107" s="93"/>
      <c r="E107" s="95" t="s">
        <v>27</v>
      </c>
      <c r="F107" s="93"/>
      <c r="G107" s="19">
        <v>1</v>
      </c>
      <c r="H107" s="19">
        <v>1</v>
      </c>
      <c r="I107" s="19">
        <v>1</v>
      </c>
      <c r="J107" s="19">
        <v>1</v>
      </c>
      <c r="K107" s="19">
        <v>1</v>
      </c>
      <c r="L107" s="19">
        <v>1</v>
      </c>
      <c r="M107" s="19">
        <v>1</v>
      </c>
      <c r="N107" s="19">
        <v>1</v>
      </c>
      <c r="O107" s="19">
        <v>1</v>
      </c>
      <c r="P107" s="19">
        <v>1</v>
      </c>
      <c r="Q107" s="19">
        <v>1</v>
      </c>
      <c r="R107" s="19">
        <v>1</v>
      </c>
      <c r="S107" s="19">
        <v>1</v>
      </c>
      <c r="T107" s="21">
        <v>0</v>
      </c>
      <c r="U107" s="24">
        <v>0</v>
      </c>
      <c r="V107" s="24">
        <v>0</v>
      </c>
      <c r="W107" s="24">
        <v>0</v>
      </c>
      <c r="X107" s="19">
        <v>0</v>
      </c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6.5" customHeight="1" x14ac:dyDescent="0.3">
      <c r="A108" s="104"/>
      <c r="B108" s="98"/>
      <c r="C108" s="95" t="s">
        <v>109</v>
      </c>
      <c r="D108" s="93"/>
      <c r="E108" s="95" t="s">
        <v>46</v>
      </c>
      <c r="F108" s="93"/>
      <c r="G108" s="19">
        <v>1</v>
      </c>
      <c r="H108" s="19">
        <v>1</v>
      </c>
      <c r="I108" s="19">
        <v>1</v>
      </c>
      <c r="J108" s="19">
        <v>1</v>
      </c>
      <c r="K108" s="19">
        <v>1</v>
      </c>
      <c r="L108" s="19">
        <v>1</v>
      </c>
      <c r="M108" s="19">
        <v>1</v>
      </c>
      <c r="N108" s="19">
        <v>1</v>
      </c>
      <c r="O108" s="19">
        <v>1</v>
      </c>
      <c r="P108" s="19">
        <v>1</v>
      </c>
      <c r="Q108" s="19">
        <v>1</v>
      </c>
      <c r="R108" s="19">
        <v>1</v>
      </c>
      <c r="S108" s="19">
        <v>1</v>
      </c>
      <c r="T108" s="21">
        <v>0</v>
      </c>
      <c r="U108" s="24">
        <v>0</v>
      </c>
      <c r="V108" s="24">
        <v>0</v>
      </c>
      <c r="W108" s="24">
        <v>0</v>
      </c>
      <c r="X108" s="19">
        <v>0</v>
      </c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6.5" customHeight="1" x14ac:dyDescent="0.3">
      <c r="A109" s="104"/>
      <c r="B109" s="98"/>
      <c r="C109" s="95" t="s">
        <v>110</v>
      </c>
      <c r="D109" s="93"/>
      <c r="E109" s="95" t="s">
        <v>46</v>
      </c>
      <c r="F109" s="93"/>
      <c r="G109" s="19">
        <v>1</v>
      </c>
      <c r="H109" s="19">
        <v>1</v>
      </c>
      <c r="I109" s="19">
        <v>1</v>
      </c>
      <c r="J109" s="19">
        <v>1</v>
      </c>
      <c r="K109" s="19">
        <v>1</v>
      </c>
      <c r="L109" s="19">
        <v>1</v>
      </c>
      <c r="M109" s="19">
        <v>1</v>
      </c>
      <c r="N109" s="19">
        <v>1</v>
      </c>
      <c r="O109" s="19">
        <v>1</v>
      </c>
      <c r="P109" s="19">
        <v>1</v>
      </c>
      <c r="Q109" s="19">
        <v>1</v>
      </c>
      <c r="R109" s="19">
        <v>1</v>
      </c>
      <c r="S109" s="19">
        <v>1</v>
      </c>
      <c r="T109" s="21">
        <v>0</v>
      </c>
      <c r="U109" s="24">
        <v>0</v>
      </c>
      <c r="V109" s="24">
        <v>0</v>
      </c>
      <c r="W109" s="24">
        <v>0</v>
      </c>
      <c r="X109" s="19">
        <v>0</v>
      </c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6.5" customHeight="1" x14ac:dyDescent="0.3">
      <c r="A110" s="104"/>
      <c r="B110" s="98"/>
      <c r="C110" s="95" t="s">
        <v>111</v>
      </c>
      <c r="D110" s="93"/>
      <c r="E110" s="95" t="s">
        <v>45</v>
      </c>
      <c r="F110" s="93"/>
      <c r="G110" s="19">
        <v>2</v>
      </c>
      <c r="H110" s="19">
        <v>2</v>
      </c>
      <c r="I110" s="19">
        <v>2</v>
      </c>
      <c r="J110" s="19">
        <v>2</v>
      </c>
      <c r="K110" s="19">
        <v>2</v>
      </c>
      <c r="L110" s="19">
        <v>2</v>
      </c>
      <c r="M110" s="19">
        <v>2</v>
      </c>
      <c r="N110" s="19">
        <v>2</v>
      </c>
      <c r="O110" s="19">
        <v>2</v>
      </c>
      <c r="P110" s="19">
        <v>2</v>
      </c>
      <c r="Q110" s="19">
        <v>2</v>
      </c>
      <c r="R110" s="19">
        <v>2</v>
      </c>
      <c r="S110" s="19">
        <v>2</v>
      </c>
      <c r="T110" s="21">
        <v>0</v>
      </c>
      <c r="U110" s="24">
        <v>0</v>
      </c>
      <c r="V110" s="24">
        <v>0</v>
      </c>
      <c r="W110" s="24">
        <v>0</v>
      </c>
      <c r="X110" s="19">
        <v>0</v>
      </c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6.5" customHeight="1" x14ac:dyDescent="0.3">
      <c r="A111" s="104"/>
      <c r="B111" s="99"/>
      <c r="C111" s="95" t="s">
        <v>112</v>
      </c>
      <c r="D111" s="93"/>
      <c r="E111" s="95" t="s">
        <v>104</v>
      </c>
      <c r="F111" s="93"/>
      <c r="G111" s="19">
        <v>1</v>
      </c>
      <c r="H111" s="19">
        <v>1</v>
      </c>
      <c r="I111" s="19">
        <v>1</v>
      </c>
      <c r="J111" s="19">
        <v>1</v>
      </c>
      <c r="K111" s="19">
        <v>1</v>
      </c>
      <c r="L111" s="19">
        <v>1</v>
      </c>
      <c r="M111" s="19">
        <v>1</v>
      </c>
      <c r="N111" s="19">
        <v>1</v>
      </c>
      <c r="O111" s="19">
        <v>1</v>
      </c>
      <c r="P111" s="19">
        <v>1</v>
      </c>
      <c r="Q111" s="19">
        <v>1</v>
      </c>
      <c r="R111" s="19">
        <v>1</v>
      </c>
      <c r="S111" s="19">
        <v>1</v>
      </c>
      <c r="T111" s="21">
        <v>0</v>
      </c>
      <c r="U111" s="24">
        <v>0</v>
      </c>
      <c r="V111" s="24">
        <v>0</v>
      </c>
      <c r="W111" s="24">
        <v>0</v>
      </c>
      <c r="X111" s="19">
        <v>0</v>
      </c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6.5" customHeight="1" x14ac:dyDescent="0.3">
      <c r="A112" s="104"/>
      <c r="B112" s="97" t="s">
        <v>113</v>
      </c>
      <c r="C112" s="95" t="s">
        <v>114</v>
      </c>
      <c r="D112" s="93"/>
      <c r="E112" s="95" t="s">
        <v>44</v>
      </c>
      <c r="F112" s="93"/>
      <c r="G112" s="19">
        <v>0.5</v>
      </c>
      <c r="H112" s="19">
        <v>0.5</v>
      </c>
      <c r="I112" s="19">
        <v>0.5</v>
      </c>
      <c r="J112" s="19">
        <v>0.5</v>
      </c>
      <c r="K112" s="19">
        <v>0.5</v>
      </c>
      <c r="L112" s="19">
        <v>0.5</v>
      </c>
      <c r="M112" s="19">
        <v>0.5</v>
      </c>
      <c r="N112" s="19">
        <v>0.5</v>
      </c>
      <c r="O112" s="19">
        <v>0.5</v>
      </c>
      <c r="P112" s="19">
        <v>0.5</v>
      </c>
      <c r="Q112" s="19">
        <v>0.5</v>
      </c>
      <c r="R112" s="19">
        <v>0.5</v>
      </c>
      <c r="S112" s="19">
        <v>0.5</v>
      </c>
      <c r="T112" s="19">
        <v>0.5</v>
      </c>
      <c r="U112" s="21">
        <v>0</v>
      </c>
      <c r="V112" s="19">
        <v>0</v>
      </c>
      <c r="W112" s="19">
        <v>0</v>
      </c>
      <c r="X112" s="19">
        <v>0</v>
      </c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6.5" customHeight="1" x14ac:dyDescent="0.3">
      <c r="A113" s="104"/>
      <c r="B113" s="98"/>
      <c r="C113" s="95" t="s">
        <v>115</v>
      </c>
      <c r="D113" s="93"/>
      <c r="E113" s="95" t="s">
        <v>44</v>
      </c>
      <c r="F113" s="93"/>
      <c r="G113" s="19">
        <v>0.5</v>
      </c>
      <c r="H113" s="19">
        <v>0.5</v>
      </c>
      <c r="I113" s="19">
        <v>0.5</v>
      </c>
      <c r="J113" s="19">
        <v>0.5</v>
      </c>
      <c r="K113" s="19">
        <v>0.5</v>
      </c>
      <c r="L113" s="19">
        <v>0.5</v>
      </c>
      <c r="M113" s="19">
        <v>0.5</v>
      </c>
      <c r="N113" s="19">
        <v>0.5</v>
      </c>
      <c r="O113" s="19">
        <v>0.5</v>
      </c>
      <c r="P113" s="19">
        <v>0.5</v>
      </c>
      <c r="Q113" s="19">
        <v>0.5</v>
      </c>
      <c r="R113" s="19">
        <v>0.5</v>
      </c>
      <c r="S113" s="19">
        <v>0.5</v>
      </c>
      <c r="T113" s="19">
        <v>0.5</v>
      </c>
      <c r="U113" s="21">
        <v>0</v>
      </c>
      <c r="V113" s="19">
        <v>0</v>
      </c>
      <c r="W113" s="19">
        <v>0</v>
      </c>
      <c r="X113" s="19">
        <v>0</v>
      </c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6.5" customHeight="1" x14ac:dyDescent="0.3">
      <c r="A114" s="104"/>
      <c r="B114" s="98"/>
      <c r="C114" s="95" t="s">
        <v>116</v>
      </c>
      <c r="D114" s="93"/>
      <c r="E114" s="95" t="s">
        <v>44</v>
      </c>
      <c r="F114" s="93"/>
      <c r="G114" s="19">
        <v>1</v>
      </c>
      <c r="H114" s="19">
        <v>1</v>
      </c>
      <c r="I114" s="19">
        <v>1</v>
      </c>
      <c r="J114" s="19">
        <v>1</v>
      </c>
      <c r="K114" s="19">
        <v>1</v>
      </c>
      <c r="L114" s="19">
        <v>1</v>
      </c>
      <c r="M114" s="19">
        <v>1</v>
      </c>
      <c r="N114" s="19">
        <v>1</v>
      </c>
      <c r="O114" s="19">
        <v>1</v>
      </c>
      <c r="P114" s="19">
        <v>1</v>
      </c>
      <c r="Q114" s="19">
        <v>1</v>
      </c>
      <c r="R114" s="19">
        <v>1</v>
      </c>
      <c r="S114" s="19">
        <v>1</v>
      </c>
      <c r="T114" s="19">
        <v>1</v>
      </c>
      <c r="U114" s="21">
        <v>0</v>
      </c>
      <c r="V114" s="19">
        <v>0</v>
      </c>
      <c r="W114" s="19">
        <v>0</v>
      </c>
      <c r="X114" s="19">
        <v>0</v>
      </c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6.5" customHeight="1" x14ac:dyDescent="0.3">
      <c r="A115" s="104"/>
      <c r="B115" s="98"/>
      <c r="C115" s="95" t="s">
        <v>117</v>
      </c>
      <c r="D115" s="93"/>
      <c r="E115" s="95" t="s">
        <v>44</v>
      </c>
      <c r="F115" s="93"/>
      <c r="G115" s="19">
        <v>0.5</v>
      </c>
      <c r="H115" s="19">
        <v>0.5</v>
      </c>
      <c r="I115" s="19">
        <v>0.5</v>
      </c>
      <c r="J115" s="19">
        <v>0.5</v>
      </c>
      <c r="K115" s="19">
        <v>0.5</v>
      </c>
      <c r="L115" s="19">
        <v>0.5</v>
      </c>
      <c r="M115" s="19">
        <v>0.5</v>
      </c>
      <c r="N115" s="19">
        <v>0.5</v>
      </c>
      <c r="O115" s="19">
        <v>0.5</v>
      </c>
      <c r="P115" s="19">
        <v>0.5</v>
      </c>
      <c r="Q115" s="19">
        <v>0.5</v>
      </c>
      <c r="R115" s="19">
        <v>0.5</v>
      </c>
      <c r="S115" s="19">
        <v>0.5</v>
      </c>
      <c r="T115" s="19">
        <v>0.5</v>
      </c>
      <c r="U115" s="21">
        <v>0</v>
      </c>
      <c r="V115" s="19">
        <v>0</v>
      </c>
      <c r="W115" s="19">
        <v>0</v>
      </c>
      <c r="X115" s="19">
        <v>0</v>
      </c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6.5" customHeight="1" x14ac:dyDescent="0.3">
      <c r="A116" s="104"/>
      <c r="B116" s="98"/>
      <c r="C116" s="95" t="s">
        <v>118</v>
      </c>
      <c r="D116" s="93"/>
      <c r="E116" s="95" t="s">
        <v>44</v>
      </c>
      <c r="F116" s="93"/>
      <c r="G116" s="19">
        <v>1.5</v>
      </c>
      <c r="H116" s="19">
        <v>1.5</v>
      </c>
      <c r="I116" s="19">
        <v>1.5</v>
      </c>
      <c r="J116" s="19">
        <v>1.5</v>
      </c>
      <c r="K116" s="19">
        <v>1.5</v>
      </c>
      <c r="L116" s="19">
        <v>1.5</v>
      </c>
      <c r="M116" s="19">
        <v>1.5</v>
      </c>
      <c r="N116" s="19">
        <v>1.5</v>
      </c>
      <c r="O116" s="19">
        <v>1.5</v>
      </c>
      <c r="P116" s="19">
        <v>1.5</v>
      </c>
      <c r="Q116" s="19">
        <v>1.5</v>
      </c>
      <c r="R116" s="19">
        <v>1.5</v>
      </c>
      <c r="S116" s="19">
        <v>1.5</v>
      </c>
      <c r="T116" s="19">
        <v>1.5</v>
      </c>
      <c r="U116" s="21">
        <v>0</v>
      </c>
      <c r="V116" s="19">
        <v>0</v>
      </c>
      <c r="W116" s="19">
        <v>0</v>
      </c>
      <c r="X116" s="19">
        <v>0</v>
      </c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6.5" customHeight="1" x14ac:dyDescent="0.3">
      <c r="A117" s="104"/>
      <c r="B117" s="98"/>
      <c r="C117" s="95" t="s">
        <v>119</v>
      </c>
      <c r="D117" s="93"/>
      <c r="E117" s="95" t="s">
        <v>44</v>
      </c>
      <c r="F117" s="93"/>
      <c r="G117" s="19">
        <v>0.5</v>
      </c>
      <c r="H117" s="19">
        <v>0.5</v>
      </c>
      <c r="I117" s="19">
        <v>0.5</v>
      </c>
      <c r="J117" s="19">
        <v>0.5</v>
      </c>
      <c r="K117" s="19">
        <v>0.5</v>
      </c>
      <c r="L117" s="19">
        <v>0.5</v>
      </c>
      <c r="M117" s="19">
        <v>0.5</v>
      </c>
      <c r="N117" s="19">
        <v>0.5</v>
      </c>
      <c r="O117" s="19">
        <v>0.5</v>
      </c>
      <c r="P117" s="19">
        <v>0.5</v>
      </c>
      <c r="Q117" s="19">
        <v>0.5</v>
      </c>
      <c r="R117" s="19">
        <v>0.5</v>
      </c>
      <c r="S117" s="19">
        <v>0.5</v>
      </c>
      <c r="T117" s="19">
        <v>0.5</v>
      </c>
      <c r="U117" s="19">
        <v>0.5</v>
      </c>
      <c r="V117" s="21">
        <v>0</v>
      </c>
      <c r="W117" s="19">
        <v>0</v>
      </c>
      <c r="X117" s="19">
        <v>0</v>
      </c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6.5" customHeight="1" x14ac:dyDescent="0.3">
      <c r="A118" s="104"/>
      <c r="B118" s="98"/>
      <c r="C118" s="95" t="s">
        <v>120</v>
      </c>
      <c r="D118" s="93"/>
      <c r="E118" s="95" t="s">
        <v>44</v>
      </c>
      <c r="F118" s="93"/>
      <c r="G118" s="19">
        <v>0.5</v>
      </c>
      <c r="H118" s="19">
        <v>0.5</v>
      </c>
      <c r="I118" s="19">
        <v>0.5</v>
      </c>
      <c r="J118" s="19">
        <v>0.5</v>
      </c>
      <c r="K118" s="19">
        <v>0.5</v>
      </c>
      <c r="L118" s="19">
        <v>0.5</v>
      </c>
      <c r="M118" s="19">
        <v>0.5</v>
      </c>
      <c r="N118" s="19">
        <v>0.5</v>
      </c>
      <c r="O118" s="19">
        <v>0.5</v>
      </c>
      <c r="P118" s="19">
        <v>0.5</v>
      </c>
      <c r="Q118" s="19">
        <v>0.5</v>
      </c>
      <c r="R118" s="19">
        <v>0.5</v>
      </c>
      <c r="S118" s="19">
        <v>0.5</v>
      </c>
      <c r="T118" s="19">
        <v>0.5</v>
      </c>
      <c r="U118" s="19">
        <v>0.5</v>
      </c>
      <c r="V118" s="21">
        <v>0</v>
      </c>
      <c r="W118" s="19">
        <v>0</v>
      </c>
      <c r="X118" s="19">
        <v>0</v>
      </c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6.5" customHeight="1" x14ac:dyDescent="0.3">
      <c r="A119" s="104"/>
      <c r="B119" s="98"/>
      <c r="C119" s="95" t="s">
        <v>121</v>
      </c>
      <c r="D119" s="93"/>
      <c r="E119" s="95" t="s">
        <v>44</v>
      </c>
      <c r="F119" s="93"/>
      <c r="G119" s="19">
        <v>0.5</v>
      </c>
      <c r="H119" s="19">
        <v>0.5</v>
      </c>
      <c r="I119" s="19">
        <v>0.5</v>
      </c>
      <c r="J119" s="19">
        <v>0.5</v>
      </c>
      <c r="K119" s="19">
        <v>0.5</v>
      </c>
      <c r="L119" s="19">
        <v>0.5</v>
      </c>
      <c r="M119" s="19">
        <v>0.5</v>
      </c>
      <c r="N119" s="19">
        <v>0.5</v>
      </c>
      <c r="O119" s="19">
        <v>0.5</v>
      </c>
      <c r="P119" s="19">
        <v>0.5</v>
      </c>
      <c r="Q119" s="19">
        <v>0.5</v>
      </c>
      <c r="R119" s="19">
        <v>0.5</v>
      </c>
      <c r="S119" s="19">
        <v>0.5</v>
      </c>
      <c r="T119" s="19">
        <v>0.5</v>
      </c>
      <c r="U119" s="19">
        <v>0.5</v>
      </c>
      <c r="V119" s="21">
        <v>0</v>
      </c>
      <c r="W119" s="19">
        <v>0</v>
      </c>
      <c r="X119" s="19">
        <v>0</v>
      </c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6.5" customHeight="1" x14ac:dyDescent="0.3">
      <c r="A120" s="104"/>
      <c r="B120" s="98"/>
      <c r="C120" s="95" t="s">
        <v>122</v>
      </c>
      <c r="D120" s="93"/>
      <c r="E120" s="95" t="s">
        <v>44</v>
      </c>
      <c r="F120" s="93"/>
      <c r="G120" s="19">
        <v>0.5</v>
      </c>
      <c r="H120" s="19">
        <v>0.5</v>
      </c>
      <c r="I120" s="19">
        <v>0.5</v>
      </c>
      <c r="J120" s="19">
        <v>0.5</v>
      </c>
      <c r="K120" s="19">
        <v>0.5</v>
      </c>
      <c r="L120" s="19">
        <v>0.5</v>
      </c>
      <c r="M120" s="19">
        <v>0.5</v>
      </c>
      <c r="N120" s="19">
        <v>0.5</v>
      </c>
      <c r="O120" s="19">
        <v>0.5</v>
      </c>
      <c r="P120" s="19">
        <v>0.5</v>
      </c>
      <c r="Q120" s="19">
        <v>0.5</v>
      </c>
      <c r="R120" s="19">
        <v>0.5</v>
      </c>
      <c r="S120" s="19">
        <v>0.5</v>
      </c>
      <c r="T120" s="19">
        <v>0.5</v>
      </c>
      <c r="U120" s="19">
        <v>0.5</v>
      </c>
      <c r="V120" s="21">
        <v>0</v>
      </c>
      <c r="W120" s="19">
        <v>0</v>
      </c>
      <c r="X120" s="19">
        <v>0</v>
      </c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6.5" customHeight="1" x14ac:dyDescent="0.3">
      <c r="A121" s="104"/>
      <c r="B121" s="98"/>
      <c r="C121" s="95" t="s">
        <v>123</v>
      </c>
      <c r="D121" s="93"/>
      <c r="E121" s="95" t="s">
        <v>44</v>
      </c>
      <c r="F121" s="93"/>
      <c r="G121" s="19">
        <v>0.5</v>
      </c>
      <c r="H121" s="19">
        <v>0.5</v>
      </c>
      <c r="I121" s="19">
        <v>0.5</v>
      </c>
      <c r="J121" s="19">
        <v>0.5</v>
      </c>
      <c r="K121" s="19">
        <v>0.5</v>
      </c>
      <c r="L121" s="19">
        <v>0.5</v>
      </c>
      <c r="M121" s="19">
        <v>0.5</v>
      </c>
      <c r="N121" s="19">
        <v>0.5</v>
      </c>
      <c r="O121" s="19">
        <v>0.5</v>
      </c>
      <c r="P121" s="19">
        <v>0.5</v>
      </c>
      <c r="Q121" s="19">
        <v>0.5</v>
      </c>
      <c r="R121" s="19">
        <v>0.5</v>
      </c>
      <c r="S121" s="19">
        <v>0.5</v>
      </c>
      <c r="T121" s="19">
        <v>0.5</v>
      </c>
      <c r="U121" s="19">
        <v>0.5</v>
      </c>
      <c r="V121" s="21">
        <v>0</v>
      </c>
      <c r="W121" s="19">
        <v>0</v>
      </c>
      <c r="X121" s="19">
        <v>0</v>
      </c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6.5" customHeight="1" x14ac:dyDescent="0.3">
      <c r="A122" s="104"/>
      <c r="B122" s="98"/>
      <c r="C122" s="95" t="s">
        <v>124</v>
      </c>
      <c r="D122" s="93"/>
      <c r="E122" s="95" t="s">
        <v>44</v>
      </c>
      <c r="F122" s="93"/>
      <c r="G122" s="19">
        <v>1</v>
      </c>
      <c r="H122" s="19">
        <v>1</v>
      </c>
      <c r="I122" s="19">
        <v>1</v>
      </c>
      <c r="J122" s="19">
        <v>1</v>
      </c>
      <c r="K122" s="19">
        <v>1</v>
      </c>
      <c r="L122" s="19">
        <v>1</v>
      </c>
      <c r="M122" s="19">
        <v>1</v>
      </c>
      <c r="N122" s="19">
        <v>1</v>
      </c>
      <c r="O122" s="19">
        <v>1</v>
      </c>
      <c r="P122" s="19">
        <v>1</v>
      </c>
      <c r="Q122" s="19">
        <v>1</v>
      </c>
      <c r="R122" s="19">
        <v>1</v>
      </c>
      <c r="S122" s="19">
        <v>1</v>
      </c>
      <c r="T122" s="19">
        <v>1</v>
      </c>
      <c r="U122" s="19">
        <v>1</v>
      </c>
      <c r="V122" s="21">
        <v>0</v>
      </c>
      <c r="W122" s="19">
        <v>0</v>
      </c>
      <c r="X122" s="19">
        <v>0</v>
      </c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6.5" customHeight="1" x14ac:dyDescent="0.3">
      <c r="A123" s="104"/>
      <c r="B123" s="99"/>
      <c r="C123" s="95" t="s">
        <v>125</v>
      </c>
      <c r="D123" s="93"/>
      <c r="E123" s="95" t="s">
        <v>44</v>
      </c>
      <c r="F123" s="93"/>
      <c r="G123" s="19">
        <v>0.5</v>
      </c>
      <c r="H123" s="19">
        <v>0.5</v>
      </c>
      <c r="I123" s="19">
        <v>0.5</v>
      </c>
      <c r="J123" s="19">
        <v>0.5</v>
      </c>
      <c r="K123" s="19">
        <v>0.5</v>
      </c>
      <c r="L123" s="19">
        <v>0.5</v>
      </c>
      <c r="M123" s="19">
        <v>0.5</v>
      </c>
      <c r="N123" s="19">
        <v>0.5</v>
      </c>
      <c r="O123" s="19">
        <v>0.5</v>
      </c>
      <c r="P123" s="19">
        <v>0.5</v>
      </c>
      <c r="Q123" s="19">
        <v>0.5</v>
      </c>
      <c r="R123" s="19">
        <v>0.5</v>
      </c>
      <c r="S123" s="19">
        <v>0.5</v>
      </c>
      <c r="T123" s="19">
        <v>0.5</v>
      </c>
      <c r="U123" s="19">
        <v>0.5</v>
      </c>
      <c r="V123" s="21">
        <v>0</v>
      </c>
      <c r="W123" s="19">
        <v>0</v>
      </c>
      <c r="X123" s="19">
        <v>0</v>
      </c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6.5" customHeight="1" x14ac:dyDescent="0.3">
      <c r="A124" s="104"/>
      <c r="B124" s="100" t="s">
        <v>126</v>
      </c>
      <c r="C124" s="95" t="s">
        <v>127</v>
      </c>
      <c r="D124" s="93"/>
      <c r="E124" s="95" t="s">
        <v>25</v>
      </c>
      <c r="F124" s="93"/>
      <c r="G124" s="19">
        <v>2</v>
      </c>
      <c r="H124" s="19">
        <v>2</v>
      </c>
      <c r="I124" s="19">
        <v>2</v>
      </c>
      <c r="J124" s="19">
        <v>2</v>
      </c>
      <c r="K124" s="19">
        <v>2</v>
      </c>
      <c r="L124" s="19">
        <v>2</v>
      </c>
      <c r="M124" s="19">
        <v>2</v>
      </c>
      <c r="N124" s="19">
        <v>2</v>
      </c>
      <c r="O124" s="19">
        <v>2</v>
      </c>
      <c r="P124" s="19">
        <v>2</v>
      </c>
      <c r="Q124" s="19">
        <v>2</v>
      </c>
      <c r="R124" s="19">
        <v>2</v>
      </c>
      <c r="S124" s="19">
        <v>2</v>
      </c>
      <c r="T124" s="19">
        <v>2</v>
      </c>
      <c r="U124" s="19">
        <v>2</v>
      </c>
      <c r="V124" s="19">
        <v>2</v>
      </c>
      <c r="W124" s="19">
        <v>2</v>
      </c>
      <c r="X124" s="21">
        <v>0</v>
      </c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6.5" customHeight="1" x14ac:dyDescent="0.3">
      <c r="A125" s="104"/>
      <c r="B125" s="99"/>
      <c r="C125" s="95" t="s">
        <v>128</v>
      </c>
      <c r="D125" s="93"/>
      <c r="E125" s="95" t="s">
        <v>25</v>
      </c>
      <c r="F125" s="93"/>
      <c r="G125" s="19">
        <v>2</v>
      </c>
      <c r="H125" s="19">
        <v>2</v>
      </c>
      <c r="I125" s="19">
        <v>2</v>
      </c>
      <c r="J125" s="19">
        <v>2</v>
      </c>
      <c r="K125" s="19">
        <v>2</v>
      </c>
      <c r="L125" s="19">
        <v>2</v>
      </c>
      <c r="M125" s="19">
        <v>2</v>
      </c>
      <c r="N125" s="19">
        <v>2</v>
      </c>
      <c r="O125" s="19">
        <v>2</v>
      </c>
      <c r="P125" s="19">
        <v>2</v>
      </c>
      <c r="Q125" s="19">
        <v>2</v>
      </c>
      <c r="R125" s="19">
        <v>2</v>
      </c>
      <c r="S125" s="19">
        <v>2</v>
      </c>
      <c r="T125" s="19">
        <v>2</v>
      </c>
      <c r="U125" s="19">
        <v>2</v>
      </c>
      <c r="V125" s="19">
        <v>2</v>
      </c>
      <c r="W125" s="19">
        <v>2</v>
      </c>
      <c r="X125" s="21">
        <v>0</v>
      </c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6.5" customHeight="1" x14ac:dyDescent="0.3">
      <c r="A126" s="104"/>
      <c r="B126" s="107" t="s">
        <v>19</v>
      </c>
      <c r="C126" s="108"/>
      <c r="D126" s="109"/>
      <c r="E126" s="118" t="s">
        <v>129</v>
      </c>
      <c r="F126" s="93"/>
      <c r="G126" s="96">
        <f>SUM(G16:G125)</f>
        <v>149</v>
      </c>
      <c r="H126" s="93"/>
      <c r="I126" s="19">
        <f>SUM(I16:I125)</f>
        <v>150</v>
      </c>
      <c r="J126" s="19">
        <f>SUM(J16:J125)-J19</f>
        <v>139</v>
      </c>
      <c r="K126" s="19">
        <f>SUM(K16:K125)</f>
        <v>131</v>
      </c>
      <c r="L126" s="19">
        <f>SUM(L16:L125)+L31</f>
        <v>128</v>
      </c>
      <c r="M126" s="19">
        <f>SUM(M16:M125)-M37</f>
        <v>117</v>
      </c>
      <c r="N126" s="19">
        <f>SUM(N16:N125)+N45</f>
        <v>106</v>
      </c>
      <c r="O126" s="19">
        <f>SUM(O16:O125)+O53</f>
        <v>96</v>
      </c>
      <c r="P126" s="19">
        <f>SUM(P16:P125)-P66+P63</f>
        <v>82</v>
      </c>
      <c r="Q126" s="19">
        <f>SUM(Q16:Q125)+Q71</f>
        <v>65</v>
      </c>
      <c r="R126" s="19">
        <f>SUM(R16:R125)</f>
        <v>47</v>
      </c>
      <c r="S126" s="19">
        <f>SUM(S16:S125)-S95</f>
        <v>27</v>
      </c>
      <c r="T126" s="19">
        <f>SUM(T16:T125)</f>
        <v>12</v>
      </c>
      <c r="U126" s="19">
        <f>SUM(U16:U125)</f>
        <v>8</v>
      </c>
      <c r="V126" s="19">
        <f>SUM(V16:V125)</f>
        <v>4</v>
      </c>
      <c r="W126" s="19">
        <f>SUM(W16:W125)</f>
        <v>4</v>
      </c>
      <c r="X126" s="19">
        <f>SUM(X16:X125)</f>
        <v>0</v>
      </c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6.5" customHeight="1" x14ac:dyDescent="0.3">
      <c r="A127" s="104"/>
      <c r="B127" s="110"/>
      <c r="C127" s="111"/>
      <c r="D127" s="112"/>
      <c r="E127" s="118" t="s">
        <v>130</v>
      </c>
      <c r="F127" s="93"/>
      <c r="G127" s="96">
        <f>SUM(H16:H125)</f>
        <v>150</v>
      </c>
      <c r="H127" s="93"/>
      <c r="I127" s="19">
        <f t="shared" ref="I127:X127" si="1">SUM(I16:I125)</f>
        <v>150</v>
      </c>
      <c r="J127" s="19">
        <f t="shared" si="1"/>
        <v>142</v>
      </c>
      <c r="K127" s="19">
        <f t="shared" si="1"/>
        <v>131</v>
      </c>
      <c r="L127" s="19">
        <f t="shared" si="1"/>
        <v>126</v>
      </c>
      <c r="M127" s="19">
        <f t="shared" si="1"/>
        <v>118</v>
      </c>
      <c r="N127" s="19">
        <f t="shared" si="1"/>
        <v>105</v>
      </c>
      <c r="O127" s="19">
        <f t="shared" si="1"/>
        <v>94</v>
      </c>
      <c r="P127" s="19">
        <f t="shared" si="1"/>
        <v>81</v>
      </c>
      <c r="Q127" s="19">
        <f t="shared" si="1"/>
        <v>64</v>
      </c>
      <c r="R127" s="19">
        <f t="shared" si="1"/>
        <v>47</v>
      </c>
      <c r="S127" s="19">
        <f t="shared" si="1"/>
        <v>28</v>
      </c>
      <c r="T127" s="19">
        <f t="shared" si="1"/>
        <v>12</v>
      </c>
      <c r="U127" s="19">
        <f t="shared" si="1"/>
        <v>8</v>
      </c>
      <c r="V127" s="19">
        <f t="shared" si="1"/>
        <v>4</v>
      </c>
      <c r="W127" s="19">
        <f t="shared" si="1"/>
        <v>4</v>
      </c>
      <c r="X127" s="19">
        <f t="shared" si="1"/>
        <v>0</v>
      </c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6.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6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6.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6.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6.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6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6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6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6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6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6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6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6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6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6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6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6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6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6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6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6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6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6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6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6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6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6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6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6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6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6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6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6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6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6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6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6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6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6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6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6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6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6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6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6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6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6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6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6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6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6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6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6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6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6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6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6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6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6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6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6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6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6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6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6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6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6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6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6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6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6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6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6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6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6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6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6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6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6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6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6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6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6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6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6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6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6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6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6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6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6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6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6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6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6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6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6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6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6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6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6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6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6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6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6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6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6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6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6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6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6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6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6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6.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6.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6.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ht="16.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6.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6.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6.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6.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6.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6.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6.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6.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6.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6.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ht="16.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6.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6.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6.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6.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6.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6.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6.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6.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6.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6.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6.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6.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6.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ht="16.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6.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6.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ht="16.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ht="16.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6.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6.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6.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6.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6.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6.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6.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6.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6.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6.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6.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6.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6.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6.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6.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6.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6.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6.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6.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6.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6.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6.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6.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6.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6.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6.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6.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6.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6.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6.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ht="16.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6.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6.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6.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6.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6.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6.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6.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6.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6.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6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6.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6.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6.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ht="16.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ht="16.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ht="16.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ht="16.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ht="16.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ht="16.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ht="16.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ht="16.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ht="16.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ht="16.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ht="16.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ht="16.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ht="16.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ht="16.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ht="16.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ht="16.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ht="16.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ht="16.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ht="16.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ht="16.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ht="16.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ht="16.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ht="16.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ht="16.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ht="16.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ht="16.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ht="16.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ht="16.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ht="16.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ht="16.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ht="16.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ht="16.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ht="16.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ht="16.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ht="16.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ht="16.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ht="16.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ht="16.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ht="16.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ht="16.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ht="16.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 ht="16.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ht="16.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ht="16.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ht="16.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ht="16.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ht="16.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ht="16.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ht="16.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ht="16.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ht="16.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ht="16.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ht="16.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ht="16.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ht="16.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ht="16.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ht="16.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ht="16.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ht="16.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ht="16.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ht="16.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ht="16.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ht="16.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ht="16.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ht="16.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ht="16.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ht="16.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ht="16.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ht="16.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ht="16.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ht="16.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ht="16.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ht="16.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ht="16.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ht="16.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ht="16.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ht="16.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ht="16.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ht="16.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ht="16.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ht="16.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ht="16.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ht="16.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ht="16.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ht="16.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ht="16.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ht="16.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ht="16.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ht="16.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ht="16.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ht="16.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ht="16.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ht="16.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ht="16.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ht="16.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ht="16.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ht="16.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ht="16.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ht="16.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ht="16.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ht="16.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ht="16.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ht="16.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ht="16.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ht="16.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 ht="16.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ht="16.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ht="16.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ht="16.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ht="16.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ht="16.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ht="16.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ht="16.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ht="16.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ht="16.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ht="16.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ht="16.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ht="16.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ht="16.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ht="16.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 ht="16.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ht="16.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 ht="16.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 ht="16.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 ht="16.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 ht="16.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 ht="16.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 ht="16.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 ht="16.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 ht="16.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 ht="16.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 ht="16.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spans="1:41" ht="16.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 ht="16.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 ht="16.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 ht="16.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 ht="16.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 ht="16.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 ht="16.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ht="16.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spans="1:41" ht="16.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ht="16.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ht="16.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ht="16.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ht="16.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ht="16.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ht="16.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ht="16.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ht="16.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 ht="16.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ht="16.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ht="16.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 ht="16.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 ht="16.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ht="16.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ht="16.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ht="16.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ht="16.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ht="16.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ht="16.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ht="16.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ht="16.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ht="16.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ht="16.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 ht="16.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ht="16.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ht="16.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ht="16.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ht="16.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ht="16.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ht="16.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ht="16.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ht="16.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ht="16.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ht="16.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ht="16.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 ht="16.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ht="16.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ht="16.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ht="16.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ht="16.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 ht="16.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ht="16.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ht="16.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ht="16.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ht="16.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ht="16.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ht="16.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ht="16.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 ht="16.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 ht="16.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 ht="16.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 ht="16.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 ht="16.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spans="1:41" ht="16.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 ht="16.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 ht="16.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 ht="16.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 ht="16.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 ht="16.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 ht="16.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 ht="16.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 ht="16.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 ht="16.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 ht="16.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 ht="16.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spans="1:41" ht="16.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spans="1:41" ht="16.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spans="1:41" ht="16.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spans="1:41" ht="16.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spans="1:41" ht="16.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spans="1:41" ht="16.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spans="1:41" ht="16.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spans="1:41" ht="16.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spans="1:41" ht="16.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spans="1:41" ht="16.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spans="1:41" ht="16.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spans="1:41" ht="16.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spans="1:41" ht="16.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spans="1:41" ht="16.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spans="1:41" ht="16.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spans="1:41" ht="16.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spans="1:41" ht="16.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spans="1:41" ht="16.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spans="1:41" ht="16.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spans="1:41" ht="16.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spans="1:41" ht="16.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spans="1:41" ht="16.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spans="1:41" ht="16.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spans="1:41" ht="16.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spans="1:41" ht="16.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spans="1:41" ht="16.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spans="1:41" ht="16.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spans="1:41" ht="16.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spans="1:41" ht="16.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spans="1:41" ht="16.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spans="1:41" ht="16.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spans="1:41" ht="16.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spans="1:41" ht="16.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spans="1:41" ht="16.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spans="1:41" ht="16.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spans="1:41" ht="16.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spans="1:41" ht="16.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spans="1:41" ht="16.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spans="1:41" ht="16.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spans="1:41" ht="16.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spans="1:41" ht="16.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spans="1:41" ht="16.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spans="1:41" ht="16.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spans="1:41" ht="16.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spans="1:41" ht="16.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spans="1:41" ht="16.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spans="1:41" ht="16.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spans="1:41" ht="16.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spans="1:41" ht="16.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spans="1:41" ht="16.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spans="1:41" ht="16.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spans="1:41" ht="16.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spans="1:41" ht="16.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spans="1:41" ht="16.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spans="1:41" ht="16.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spans="1:41" ht="16.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spans="1:41" ht="16.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spans="1:41" ht="16.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spans="1:41" ht="16.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spans="1:41" ht="16.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spans="1:41" ht="16.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spans="1:41" ht="16.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spans="1:41" ht="16.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spans="1:41" ht="16.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spans="1:41" ht="16.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spans="1:41" ht="16.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spans="1:41" ht="16.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spans="1:41" ht="16.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spans="1:41" ht="16.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spans="1:41" ht="16.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spans="1:41" ht="16.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spans="1:41" ht="16.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spans="1:41" ht="16.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spans="1:41" ht="16.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spans="1:41" ht="16.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spans="1:41" ht="16.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spans="1:41" ht="16.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spans="1:41" ht="16.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spans="1:41" ht="16.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spans="1:41" ht="16.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spans="1:41" ht="16.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spans="1:41" ht="16.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spans="1:41" ht="16.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spans="1:41" ht="16.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spans="1:41" ht="16.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spans="1:41" ht="16.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spans="1:41" ht="16.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spans="1:41" ht="16.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spans="1:41" ht="16.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spans="1:41" ht="16.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spans="1:41" ht="16.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spans="1:41" ht="16.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spans="1:41" ht="16.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spans="1:41" ht="16.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spans="1:41" ht="16.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spans="1:41" ht="16.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spans="1:41" ht="16.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spans="1:41" ht="16.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spans="1:41" ht="16.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spans="1:41" ht="16.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spans="1:41" ht="16.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spans="1:41" ht="16.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spans="1:41" ht="16.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spans="1:41" ht="16.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spans="1:41" ht="16.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 ht="16.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 ht="16.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 ht="16.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 ht="16.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 ht="16.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 ht="16.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 ht="16.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 ht="16.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 ht="16.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 ht="16.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 ht="16.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 ht="16.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spans="1:41" ht="16.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 ht="16.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 ht="16.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 ht="16.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 ht="16.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 ht="16.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 ht="16.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 ht="16.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 ht="16.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 ht="16.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 ht="16.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 ht="16.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 ht="16.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 ht="16.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spans="1:41" ht="16.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 ht="16.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 ht="16.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 ht="16.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 ht="16.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 ht="16.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 ht="16.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 ht="16.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 ht="16.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 ht="16.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 ht="16.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 ht="16.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 ht="16.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 ht="16.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 ht="16.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 ht="16.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 ht="16.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spans="1:41" ht="16.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spans="1:41" ht="16.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spans="1:41" ht="16.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spans="1:41" ht="16.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spans="1:41" ht="16.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spans="1:41" ht="16.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spans="1:41" ht="16.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spans="1:41" ht="16.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spans="1:41" ht="16.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spans="1:41" ht="16.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spans="1:41" ht="16.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spans="1:41" ht="16.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spans="1:41" ht="16.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spans="1:41" ht="16.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spans="1:41" ht="16.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spans="1:41" ht="16.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spans="1:41" ht="16.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spans="1:41" ht="16.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spans="1:41" ht="16.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spans="1:41" ht="16.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spans="1:41" ht="16.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spans="1:41" ht="16.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spans="1:41" ht="16.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spans="1:41" ht="16.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spans="1:41" ht="16.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spans="1:41" ht="16.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spans="1:41" ht="16.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spans="1:41" ht="16.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spans="1:41" ht="16.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spans="1:41" ht="16.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spans="1:41" ht="16.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spans="1:41" ht="16.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spans="1:41" ht="16.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spans="1:41" ht="16.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spans="1:41" ht="16.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spans="1:41" ht="16.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spans="1:41" ht="16.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spans="1:41" ht="16.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spans="1:41" ht="16.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spans="1:41" ht="16.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spans="1:41" ht="16.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spans="1:41" ht="16.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spans="1:41" ht="16.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spans="1:41" ht="16.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spans="1:41" ht="16.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spans="1:41" ht="16.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spans="1:41" ht="16.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spans="1:41" ht="16.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spans="1:41" ht="16.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spans="1:41" ht="16.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spans="1:41" ht="16.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spans="1:41" ht="16.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spans="1:41" ht="16.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spans="1:41" ht="16.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spans="1:41" ht="16.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spans="1:41" ht="16.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spans="1:41" ht="16.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spans="1:41" ht="16.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spans="1:41" ht="16.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spans="1:41" ht="16.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spans="1:41" ht="16.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spans="1:41" ht="16.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spans="1:41" ht="16.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spans="1:41" ht="16.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spans="1:41" ht="16.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spans="1:41" ht="16.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spans="1:41" ht="16.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spans="1:41" ht="16.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spans="1:41" ht="16.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spans="1:41" ht="16.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spans="1:41" ht="16.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spans="1:41" ht="16.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spans="1:41" ht="16.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spans="1:41" ht="16.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spans="1:41" ht="16.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spans="1:41" ht="16.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spans="1:41" ht="16.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spans="1:41" ht="16.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spans="1:41" ht="16.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spans="1:41" ht="16.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spans="1:41" ht="16.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spans="1:41" ht="16.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spans="1:41" ht="16.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spans="1:41" ht="16.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spans="1:41" ht="16.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spans="1:41" ht="16.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spans="1:41" ht="16.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spans="1:41" ht="16.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spans="1:41" ht="16.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spans="1:41" ht="16.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spans="1:41" ht="16.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spans="1:41" ht="16.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spans="1:41" ht="16.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spans="1:41" ht="16.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spans="1:41" ht="16.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spans="1:41" ht="16.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spans="1:41" ht="16.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spans="1:41" ht="16.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spans="1:41" ht="16.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spans="1:41" ht="16.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spans="1:41" ht="16.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spans="1:41" ht="16.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spans="1:41" ht="16.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spans="1:41" ht="16.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spans="1:41" ht="16.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spans="1:41" ht="16.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spans="1:41" ht="16.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spans="1:41" ht="16.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spans="1:41" ht="16.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spans="1:41" ht="16.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spans="1:41" ht="16.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spans="1:41" ht="16.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spans="1:41" ht="16.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spans="1:41" ht="16.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spans="1:41" ht="16.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spans="1:41" ht="16.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spans="1:41" ht="16.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spans="1:41" ht="16.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spans="1:41" ht="16.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spans="1:41" ht="16.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spans="1:41" ht="16.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spans="1:41" ht="16.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spans="1:41" ht="16.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spans="1:41" ht="16.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spans="1:41" ht="16.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spans="1:41" ht="16.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spans="1:41" ht="16.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spans="1:41" ht="16.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spans="1:41" ht="16.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spans="1:41" ht="16.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spans="1:41" ht="16.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spans="1:41" ht="16.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spans="1:41" ht="16.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spans="1:41" ht="16.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spans="1:41" ht="16.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spans="1:41" ht="16.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spans="1:41" ht="16.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spans="1:41" ht="16.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spans="1:41" ht="16.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spans="1:41" ht="16.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spans="1:41" ht="16.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spans="1:41" ht="16.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spans="1:41" ht="16.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spans="1:41" ht="16.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spans="1:41" ht="16.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spans="1:41" ht="16.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spans="1:41" ht="16.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spans="1:41" ht="16.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spans="1:41" ht="16.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spans="1:41" ht="16.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spans="1:41" ht="16.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spans="1:41" ht="16.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spans="1:41" ht="16.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spans="1:41" ht="16.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spans="1:41" ht="16.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spans="1:41" ht="16.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spans="1:41" ht="16.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spans="1:41" ht="16.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spans="1:41" ht="16.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spans="1:41" ht="16.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spans="1:41" ht="16.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spans="1:41" ht="16.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spans="1:41" ht="16.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spans="1:41" ht="16.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spans="1:41" ht="16.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spans="1:41" ht="16.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spans="1:41" ht="16.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spans="1:41" ht="16.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spans="1:41" ht="16.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spans="1:41" ht="16.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spans="1:41" ht="16.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spans="1:41" ht="16.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spans="1:41" ht="16.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spans="1:41" ht="16.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spans="1:41" ht="16.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spans="1:41" ht="16.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spans="1:41" ht="16.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spans="1:41" ht="16.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spans="1:41" ht="16.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spans="1:41" ht="16.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spans="1:41" ht="16.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spans="1:41" ht="16.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spans="1:41" ht="16.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spans="1:41" ht="16.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spans="1:41" ht="16.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spans="1:41" ht="16.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spans="1:41" ht="16.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spans="1:41" ht="16.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spans="1:41" ht="16.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spans="1:41" ht="16.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spans="1:41" ht="16.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spans="1:41" ht="16.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spans="1:41" ht="16.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spans="1:41" ht="16.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spans="1:41" ht="16.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spans="1:41" ht="16.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spans="1:41" ht="16.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spans="1:41" ht="16.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spans="1:41" ht="16.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spans="1:41" ht="16.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spans="1:41" ht="16.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spans="1:41" ht="16.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spans="1:41" ht="16.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spans="1:41" ht="16.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spans="1:41" ht="16.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spans="1:41" ht="16.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spans="1:41" ht="16.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spans="1:41" ht="16.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spans="1:41" ht="16.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spans="1:41" ht="16.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spans="1:41" ht="16.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spans="1:41" ht="16.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spans="1:41" ht="16.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spans="1:41" ht="16.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spans="1:41" ht="16.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spans="1:41" ht="16.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spans="1:41" ht="16.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spans="1:41" ht="16.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spans="1:41" ht="16.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spans="1:41" ht="16.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spans="1:41" ht="16.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spans="1:41" ht="16.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spans="1:41" ht="16.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spans="1:41" ht="16.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spans="1:41" ht="16.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spans="1:41" ht="16.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spans="1:41" ht="16.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spans="1:41" ht="16.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spans="1:41" ht="16.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spans="1:41" ht="16.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spans="1:41" ht="16.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spans="1:41" ht="16.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spans="1:41" ht="16.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spans="1:41" ht="16.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spans="1:41" ht="16.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spans="1:41" ht="16.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spans="1:41" ht="16.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spans="1:41" ht="16.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spans="1:41" ht="16.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spans="1:41" ht="16.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spans="1:41" ht="16.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spans="1:41" ht="16.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spans="1:41" ht="16.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spans="1:41" ht="16.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spans="1:41" ht="16.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spans="1:41" ht="16.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spans="1:41" ht="16.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spans="1:41" ht="16.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spans="1:41" ht="16.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spans="1:41" ht="16.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spans="1:41" ht="16.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spans="1:41" ht="16.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spans="1:41" ht="16.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spans="1:41" ht="16.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spans="1:41" ht="16.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spans="1:41" ht="16.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spans="1:41" ht="16.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spans="1:41" ht="16.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spans="1:41" ht="16.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spans="1:41" ht="16.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spans="1:41" ht="16.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spans="1:41" ht="16.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spans="1:41" ht="16.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spans="1:41" ht="16.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spans="1:41" ht="16.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spans="1:41" ht="16.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spans="1:41" ht="16.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spans="1:41" ht="16.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spans="1:41" ht="16.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spans="1:41" ht="16.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spans="1:41" ht="16.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spans="1:41" ht="16.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spans="1:41" ht="16.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spans="1:41" ht="16.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spans="1:41" ht="16.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spans="1:41" ht="16.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spans="1:41" ht="16.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spans="1:41" ht="16.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spans="1:41" ht="16.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spans="1:41" ht="16.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spans="1:41" ht="16.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spans="1:41" ht="16.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spans="1:41" ht="16.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spans="1:41" ht="16.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spans="1:41" ht="16.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spans="1:41" ht="16.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spans="1:41" ht="16.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spans="1:41" ht="16.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spans="1:41" ht="16.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spans="1:41" ht="16.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spans="1:41" ht="16.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spans="1:41" ht="16.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spans="1:41" ht="16.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spans="1:41" ht="16.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spans="1:41" ht="16.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spans="1:41" ht="16.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spans="1:41" ht="16.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spans="1:41" ht="16.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spans="1:41" ht="16.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spans="1:41" ht="16.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spans="1:41" ht="16.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spans="1:41" ht="16.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spans="1:41" ht="16.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spans="1:41" ht="16.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spans="1:41" ht="16.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spans="1:41" ht="16.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spans="1:41" ht="16.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spans="1:41" ht="16.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spans="1:41" ht="16.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spans="1:41" ht="16.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spans="1:41" ht="16.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spans="1:41" ht="16.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spans="1:41" ht="16.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spans="1:41" ht="16.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spans="1:41" ht="16.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spans="1:41" ht="16.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spans="1:41" ht="16.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spans="1:41" ht="16.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spans="1:41" ht="16.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spans="1:41" ht="16.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spans="1:41" ht="16.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spans="1:41" ht="16.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spans="1:41" ht="16.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spans="1:41" ht="16.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spans="1:41" ht="16.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spans="1:41" ht="16.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spans="1:41" ht="16.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spans="1:41" ht="16.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spans="1:41" ht="16.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  <row r="1001" spans="1:41" ht="16.5" customHeight="1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</row>
    <row r="1002" spans="1:41" ht="16.5" customHeight="1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</row>
  </sheetData>
  <mergeCells count="237">
    <mergeCell ref="C107:D107"/>
    <mergeCell ref="C108:D108"/>
    <mergeCell ref="C109:D109"/>
    <mergeCell ref="G126:H126"/>
    <mergeCell ref="G127:H127"/>
    <mergeCell ref="E103:F103"/>
    <mergeCell ref="E104:F104"/>
    <mergeCell ref="C105:D105"/>
    <mergeCell ref="E105:F105"/>
    <mergeCell ref="C106:D106"/>
    <mergeCell ref="E106:F106"/>
    <mergeCell ref="E107:F107"/>
    <mergeCell ref="E123:F123"/>
    <mergeCell ref="E124:F124"/>
    <mergeCell ref="E125:F125"/>
    <mergeCell ref="E126:F126"/>
    <mergeCell ref="E127:F127"/>
    <mergeCell ref="E118:F118"/>
    <mergeCell ref="E119:F119"/>
    <mergeCell ref="C120:D120"/>
    <mergeCell ref="E120:F120"/>
    <mergeCell ref="C121:D121"/>
    <mergeCell ref="E121:F121"/>
    <mergeCell ref="E122:F122"/>
    <mergeCell ref="C102:D102"/>
    <mergeCell ref="C103:D103"/>
    <mergeCell ref="C104:D104"/>
    <mergeCell ref="E98:F98"/>
    <mergeCell ref="E99:F99"/>
    <mergeCell ref="C100:D100"/>
    <mergeCell ref="E100:F100"/>
    <mergeCell ref="C101:D101"/>
    <mergeCell ref="E101:F101"/>
    <mergeCell ref="E102:F102"/>
    <mergeCell ref="C97:D97"/>
    <mergeCell ref="C98:D98"/>
    <mergeCell ref="C99:D99"/>
    <mergeCell ref="E93:F93"/>
    <mergeCell ref="E94:F94"/>
    <mergeCell ref="C95:D95"/>
    <mergeCell ref="E95:F95"/>
    <mergeCell ref="C96:D96"/>
    <mergeCell ref="E96:F96"/>
    <mergeCell ref="E97:F97"/>
    <mergeCell ref="C92:D92"/>
    <mergeCell ref="C93:D93"/>
    <mergeCell ref="C94:D94"/>
    <mergeCell ref="E88:F88"/>
    <mergeCell ref="E89:F89"/>
    <mergeCell ref="C90:D90"/>
    <mergeCell ref="E90:F90"/>
    <mergeCell ref="C91:D91"/>
    <mergeCell ref="E91:F91"/>
    <mergeCell ref="E92:F92"/>
    <mergeCell ref="E79:F79"/>
    <mergeCell ref="C80:D80"/>
    <mergeCell ref="E80:F80"/>
    <mergeCell ref="C81:D81"/>
    <mergeCell ref="E81:F81"/>
    <mergeCell ref="E82:F82"/>
    <mergeCell ref="C87:D87"/>
    <mergeCell ref="C88:D88"/>
    <mergeCell ref="C89:D89"/>
    <mergeCell ref="E83:F83"/>
    <mergeCell ref="E84:F84"/>
    <mergeCell ref="C85:D85"/>
    <mergeCell ref="E85:F85"/>
    <mergeCell ref="C86:D86"/>
    <mergeCell ref="E86:F86"/>
    <mergeCell ref="E87:F87"/>
    <mergeCell ref="E22:F22"/>
    <mergeCell ref="C23:D23"/>
    <mergeCell ref="E23:F23"/>
    <mergeCell ref="C24:D24"/>
    <mergeCell ref="E24:F24"/>
    <mergeCell ref="C25:D25"/>
    <mergeCell ref="E25:F25"/>
    <mergeCell ref="E26:F26"/>
    <mergeCell ref="C26:D26"/>
    <mergeCell ref="E17:F17"/>
    <mergeCell ref="B18:D18"/>
    <mergeCell ref="E18:F18"/>
    <mergeCell ref="E19:F19"/>
    <mergeCell ref="C19:D19"/>
    <mergeCell ref="C20:D20"/>
    <mergeCell ref="E20:F20"/>
    <mergeCell ref="C21:D21"/>
    <mergeCell ref="E21:F21"/>
    <mergeCell ref="A1:B1"/>
    <mergeCell ref="A2:B2"/>
    <mergeCell ref="A3:B3"/>
    <mergeCell ref="B6:E6"/>
    <mergeCell ref="B13:C13"/>
    <mergeCell ref="C15:D15"/>
    <mergeCell ref="E15:F15"/>
    <mergeCell ref="B16:D16"/>
    <mergeCell ref="E16:F16"/>
    <mergeCell ref="B112:B123"/>
    <mergeCell ref="B124:B125"/>
    <mergeCell ref="A4:B4"/>
    <mergeCell ref="A16:A127"/>
    <mergeCell ref="B20:B32"/>
    <mergeCell ref="B33:B46"/>
    <mergeCell ref="B47:B86"/>
    <mergeCell ref="B87:B99"/>
    <mergeCell ref="B100:B111"/>
    <mergeCell ref="B17:D17"/>
    <mergeCell ref="C22:D22"/>
    <mergeCell ref="C27:D27"/>
    <mergeCell ref="C28:D28"/>
    <mergeCell ref="C29:D29"/>
    <mergeCell ref="C30:D30"/>
    <mergeCell ref="C31:D31"/>
    <mergeCell ref="C32:D32"/>
    <mergeCell ref="C122:D122"/>
    <mergeCell ref="C123:D123"/>
    <mergeCell ref="C124:D124"/>
    <mergeCell ref="C125:D125"/>
    <mergeCell ref="B126:D127"/>
    <mergeCell ref="C77:D77"/>
    <mergeCell ref="C78:D78"/>
    <mergeCell ref="C117:D117"/>
    <mergeCell ref="C118:D118"/>
    <mergeCell ref="C119:D119"/>
    <mergeCell ref="E113:F113"/>
    <mergeCell ref="E114:F114"/>
    <mergeCell ref="C115:D115"/>
    <mergeCell ref="E115:F115"/>
    <mergeCell ref="C116:D116"/>
    <mergeCell ref="E116:F116"/>
    <mergeCell ref="E117:F117"/>
    <mergeCell ref="C47:D47"/>
    <mergeCell ref="E47:F47"/>
    <mergeCell ref="C112:D112"/>
    <mergeCell ref="C113:D113"/>
    <mergeCell ref="C114:D114"/>
    <mergeCell ref="E108:F108"/>
    <mergeCell ref="E109:F109"/>
    <mergeCell ref="C110:D110"/>
    <mergeCell ref="E110:F110"/>
    <mergeCell ref="C111:D111"/>
    <mergeCell ref="E111:F111"/>
    <mergeCell ref="E112:F112"/>
    <mergeCell ref="C79:D79"/>
    <mergeCell ref="E73:F73"/>
    <mergeCell ref="E74:F74"/>
    <mergeCell ref="C75:D75"/>
    <mergeCell ref="E75:F75"/>
    <mergeCell ref="C76:D76"/>
    <mergeCell ref="E76:F76"/>
    <mergeCell ref="E77:F77"/>
    <mergeCell ref="C82:D82"/>
    <mergeCell ref="C83:D83"/>
    <mergeCell ref="C84:D84"/>
    <mergeCell ref="E78:F78"/>
    <mergeCell ref="C40:D40"/>
    <mergeCell ref="E40:F40"/>
    <mergeCell ref="E41:F41"/>
    <mergeCell ref="E42:F42"/>
    <mergeCell ref="E34:F34"/>
    <mergeCell ref="E35:F35"/>
    <mergeCell ref="C44:D44"/>
    <mergeCell ref="E44:F44"/>
    <mergeCell ref="C46:D46"/>
    <mergeCell ref="E46:F46"/>
    <mergeCell ref="C72:D72"/>
    <mergeCell ref="C73:D73"/>
    <mergeCell ref="C74:D74"/>
    <mergeCell ref="E68:F68"/>
    <mergeCell ref="E69:F69"/>
    <mergeCell ref="C70:D70"/>
    <mergeCell ref="E70:F70"/>
    <mergeCell ref="C71:D71"/>
    <mergeCell ref="E71:F71"/>
    <mergeCell ref="E72:F72"/>
    <mergeCell ref="C67:D67"/>
    <mergeCell ref="C68:D68"/>
    <mergeCell ref="C69:D69"/>
    <mergeCell ref="E63:F63"/>
    <mergeCell ref="E64:F64"/>
    <mergeCell ref="C65:D65"/>
    <mergeCell ref="E65:F65"/>
    <mergeCell ref="C66:D66"/>
    <mergeCell ref="E66:F66"/>
    <mergeCell ref="E67:F67"/>
    <mergeCell ref="C62:D62"/>
    <mergeCell ref="C63:D63"/>
    <mergeCell ref="C64:D64"/>
    <mergeCell ref="E58:F58"/>
    <mergeCell ref="E59:F59"/>
    <mergeCell ref="C60:D60"/>
    <mergeCell ref="E60:F60"/>
    <mergeCell ref="C61:D61"/>
    <mergeCell ref="E61:F61"/>
    <mergeCell ref="E62:F62"/>
    <mergeCell ref="C58:D58"/>
    <mergeCell ref="C59:D59"/>
    <mergeCell ref="E52:F52"/>
    <mergeCell ref="E54:F54"/>
    <mergeCell ref="C55:D55"/>
    <mergeCell ref="E55:F55"/>
    <mergeCell ref="C56:D56"/>
    <mergeCell ref="E56:F56"/>
    <mergeCell ref="E57:F57"/>
    <mergeCell ref="C54:D54"/>
    <mergeCell ref="C48:D48"/>
    <mergeCell ref="E48:F48"/>
    <mergeCell ref="C49:D49"/>
    <mergeCell ref="E49:F49"/>
    <mergeCell ref="C50:D50"/>
    <mergeCell ref="E50:F50"/>
    <mergeCell ref="E51:F51"/>
    <mergeCell ref="C57:D57"/>
    <mergeCell ref="E27:F27"/>
    <mergeCell ref="E28:F28"/>
    <mergeCell ref="E29:F29"/>
    <mergeCell ref="E30:F30"/>
    <mergeCell ref="E31:F31"/>
    <mergeCell ref="E32:F32"/>
    <mergeCell ref="E33:F33"/>
    <mergeCell ref="C51:D51"/>
    <mergeCell ref="C52:D52"/>
    <mergeCell ref="C33:D33"/>
    <mergeCell ref="C34:D34"/>
    <mergeCell ref="C35:D35"/>
    <mergeCell ref="C36:D36"/>
    <mergeCell ref="E36:F36"/>
    <mergeCell ref="C37:D37"/>
    <mergeCell ref="E37:F37"/>
    <mergeCell ref="E43:F43"/>
    <mergeCell ref="C43:D43"/>
    <mergeCell ref="C41:D41"/>
    <mergeCell ref="C42:D42"/>
    <mergeCell ref="C38:D38"/>
    <mergeCell ref="E38:F38"/>
    <mergeCell ref="C39:D39"/>
    <mergeCell ref="E39:F39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979"/>
  <sheetViews>
    <sheetView zoomScale="10" zoomScaleNormal="10" workbookViewId="0">
      <selection activeCell="E13" sqref="E13"/>
    </sheetView>
  </sheetViews>
  <sheetFormatPr defaultColWidth="14.44140625" defaultRowHeight="15" customHeight="1" x14ac:dyDescent="0.3"/>
  <cols>
    <col min="1" max="1" width="16" customWidth="1"/>
    <col min="2" max="2" width="20.33203125" customWidth="1"/>
    <col min="3" max="3" width="55.44140625" customWidth="1"/>
    <col min="4" max="5" width="11" customWidth="1"/>
    <col min="6" max="6" width="20.5546875" customWidth="1"/>
    <col min="7" max="8" width="6.109375" customWidth="1"/>
    <col min="9" max="9" width="6" customWidth="1"/>
    <col min="10" max="13" width="6.109375" customWidth="1"/>
    <col min="14" max="14" width="6" customWidth="1"/>
    <col min="15" max="15" width="6.109375" customWidth="1"/>
    <col min="16" max="20" width="6" customWidth="1"/>
    <col min="21" max="23" width="6.109375" customWidth="1"/>
    <col min="24" max="24" width="6" customWidth="1"/>
    <col min="25" max="25" width="6.109375" customWidth="1"/>
    <col min="26" max="26" width="6" customWidth="1"/>
    <col min="27" max="27" width="5.88671875" customWidth="1"/>
    <col min="28" max="28" width="6.109375" customWidth="1"/>
    <col min="29" max="31" width="6" customWidth="1"/>
    <col min="32" max="41" width="9.109375" customWidth="1"/>
  </cols>
  <sheetData>
    <row r="1" spans="1:41" ht="16.5" customHeight="1" x14ac:dyDescent="0.3">
      <c r="A1" s="101" t="s">
        <v>0</v>
      </c>
      <c r="B1" s="102"/>
      <c r="C1" s="1" t="s">
        <v>1</v>
      </c>
      <c r="D1" s="2"/>
      <c r="E1" s="3"/>
      <c r="F1" s="4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6.5" customHeight="1" x14ac:dyDescent="0.3">
      <c r="A2" s="101" t="s">
        <v>3</v>
      </c>
      <c r="B2" s="102"/>
      <c r="C2" s="5" t="s">
        <v>131</v>
      </c>
      <c r="D2" s="2"/>
      <c r="E2" s="6"/>
      <c r="F2" s="7" t="s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6.5" customHeight="1" x14ac:dyDescent="0.3">
      <c r="A3" s="101" t="s">
        <v>6</v>
      </c>
      <c r="B3" s="102"/>
      <c r="C3" s="8">
        <v>46117</v>
      </c>
      <c r="D3" s="2"/>
      <c r="E3" s="9"/>
      <c r="F3" s="10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7.25" customHeight="1" x14ac:dyDescent="0.3">
      <c r="A4" s="101" t="s">
        <v>8</v>
      </c>
      <c r="B4" s="102"/>
      <c r="C4" s="8">
        <v>46131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6.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6.5" customHeight="1" x14ac:dyDescent="0.3">
      <c r="A6" s="2"/>
      <c r="B6" s="113" t="s">
        <v>9</v>
      </c>
      <c r="C6" s="114"/>
      <c r="D6" s="114"/>
      <c r="E6" s="10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6.5" customHeight="1" x14ac:dyDescent="0.3">
      <c r="A7" s="2"/>
      <c r="B7" s="11" t="s">
        <v>10</v>
      </c>
      <c r="C7" s="11" t="s">
        <v>11</v>
      </c>
      <c r="D7" s="11" t="s">
        <v>12</v>
      </c>
      <c r="E7" s="11" t="s">
        <v>13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ht="16.5" customHeight="1" x14ac:dyDescent="0.3">
      <c r="A8" s="2"/>
      <c r="B8" s="12">
        <v>1</v>
      </c>
      <c r="C8" s="5" t="s">
        <v>14</v>
      </c>
      <c r="D8" s="5">
        <f ca="1">SUMIF($E$16:$F$71,"Hội",$G$16:$G$71)+SUMIF($E$16:$F$71,"All team",$G$16:$G$71)/5+SUMIF($E$16:$F$71,"Hội, Giang",$G$16:$G$71)/2+SUMIF($E$16:$F$71,"Hội, Khang, Lĩnh, Giang",$G$16:$G$71)/4</f>
        <v>26.35</v>
      </c>
      <c r="E8" s="5">
        <f ca="1">SUMIF($E$16:$F$71,"Hội",$H$16:$H$71)+SUMIF($E$16:$F$71,"All team",$H$16:$H$71)/5+SUMIF($E$16:$F$71,"Hội, Giang",$H$16:$H$71)/2+SUMIF($E$16:$F$71,"Hội, Khang, Lĩnh, Giang",$H$16:$H$71)/4</f>
        <v>29.35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ht="16.5" customHeight="1" x14ac:dyDescent="0.3">
      <c r="A9" s="2"/>
      <c r="B9" s="12">
        <v>2</v>
      </c>
      <c r="C9" s="5" t="s">
        <v>15</v>
      </c>
      <c r="D9" s="5">
        <f ca="1">SUMIF($E$16:$F$71,"Giang",$G$16:$G$71)+SUMIF($E$16:$F$71,"All team",$G$16:$G$71)/5+SUMIF($E$16:$F$71,"Hội, Giang",$G$16:$G$71)/2+SUMIF($E$16:$F$71,"Hội, Khang, Lĩnh, Giang",$G$16:$G$71)/4++SUMIF($E$16:$F$71,"Lĩnh, Giang",$G$16:$G$71)/2</f>
        <v>28.85</v>
      </c>
      <c r="E9" s="5">
        <f ca="1">SUMIF($E$16:$F$71,"Giang",$H$16:$H$71)+SUMIF($E$16:$F$71,"All team",$H$16:$H$71)/5+SUMIF($E$16:$F$71,"Hội, Giang",$H$16:$H$71)/2+SUMIF($E$16:$F$71,"Hội, Khang, Lĩnh, Giang",$H$16:$H$71)/4+SUMIF($E$16:$F$71,"Lĩnh, Giang",$H$16:$H$71)/2</f>
        <v>32.85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ht="16.5" customHeight="1" x14ac:dyDescent="0.3">
      <c r="A10" s="2"/>
      <c r="B10" s="12">
        <v>3</v>
      </c>
      <c r="C10" s="5" t="s">
        <v>16</v>
      </c>
      <c r="D10" s="5">
        <f ca="1">SUMIF($E$16:$F$71,"Nhi",$G$16:$G$71)+SUMIF($E$16:$F$71,"All team",$G$16:$G$71)/5</f>
        <v>28.6</v>
      </c>
      <c r="E10" s="5">
        <f ca="1">SUMIF($E$16:$F$71,"Nhi",$H$16:$H$70)+SUMIF($E$16:$F$71,"All team",$H$16:$H$70)/5</f>
        <v>25.6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16.5" customHeight="1" x14ac:dyDescent="0.3">
      <c r="A11" s="2"/>
      <c r="B11" s="12">
        <v>4</v>
      </c>
      <c r="C11" s="5" t="s">
        <v>17</v>
      </c>
      <c r="D11" s="5">
        <f ca="1">SUMIF($E$16:$F$71,"Khang",$G$16:$G$71)+SUMIF($E$16:$F$71,"All team",$G$16:$G$71)/5+SUMIF($E$16:$F$71,"Khang, Lĩnh",$G$16:$G$71)/2+SUMIF($E$16:$F$71,"Hội, Khang, Lĩnh, Giang",$G$16:$G$71)/4</f>
        <v>20.350000000000001</v>
      </c>
      <c r="E11" s="5">
        <f ca="1">SUMIF($E$16:$F$71,"Khang",$H$16:$H$71)+SUMIF($E$16:$F$71,"All team",$H$16:$H$71)/5+SUMIF($E$16:$F$71,"Khang, Lĩnh",$H$16:$H$71)/2+SUMIF($E$16:$F$71,"Hội, Khang, Lĩnh, Giang",$H$16:$H$71)/4</f>
        <v>19.350000000000001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16.5" customHeight="1" x14ac:dyDescent="0.3">
      <c r="A12" s="2"/>
      <c r="B12" s="12">
        <v>5</v>
      </c>
      <c r="C12" s="5" t="s">
        <v>18</v>
      </c>
      <c r="D12" s="5">
        <f ca="1">SUMIF($E$16:$F$71,"Lĩnh",$G$16:$G$71)+SUMIF($E$16:$F$71,"All team",$G$16:$G$71)/5+SUMIF($E$16:$F$71,"Lĩnh, Giang",$G$16:$G$71)/2+SUMIF($E$16:$F$71,"Hội, Khang, Lĩnh, Giang",$G$16:$G$71)/4 + SUMIF($E$16:$F$71, "Khang, Lĩnh", $G$16:$G$71)/2</f>
        <v>20.85</v>
      </c>
      <c r="E12" s="5">
        <f ca="1">SUMIF($E$16:$F$71,"Lĩnh",$H$16:$H$70)+SUMIF($E$16:$F$71,"All team",$H$16:$H$70)/5+SUMIF($E$16:$F$71,"Lĩnh, Giang",$H$16:$H$70)/2+SUMIF($E$16:$F$71,"Hội, Khang, Lĩnh, Giang",$H$16:$H$70)/4 +SUMIF($E$16:$F$71, "Khang, Lĩnh", $H$16:$H$71)/2</f>
        <v>22.85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16.5" customHeight="1" x14ac:dyDescent="0.3">
      <c r="A13" s="2"/>
      <c r="B13" s="113" t="s">
        <v>19</v>
      </c>
      <c r="C13" s="102"/>
      <c r="D13" s="13">
        <f ca="1">SUM(D8:D12)</f>
        <v>125</v>
      </c>
      <c r="E13" s="13">
        <f ca="1">SUM(E8:E12)</f>
        <v>130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ht="16.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ht="62.25" customHeight="1" x14ac:dyDescent="0.3">
      <c r="A15" s="14" t="s">
        <v>20</v>
      </c>
      <c r="B15" s="14" t="s">
        <v>21</v>
      </c>
      <c r="C15" s="115" t="s">
        <v>22</v>
      </c>
      <c r="D15" s="93"/>
      <c r="E15" s="116" t="s">
        <v>23</v>
      </c>
      <c r="F15" s="93"/>
      <c r="G15" s="15" t="s">
        <v>12</v>
      </c>
      <c r="H15" s="15" t="s">
        <v>13</v>
      </c>
      <c r="I15" s="16">
        <v>46117</v>
      </c>
      <c r="J15" s="25">
        <v>46118</v>
      </c>
      <c r="K15" s="25">
        <v>46119</v>
      </c>
      <c r="L15" s="25">
        <v>46120</v>
      </c>
      <c r="M15" s="16">
        <v>46121</v>
      </c>
      <c r="N15" s="16">
        <v>46122</v>
      </c>
      <c r="O15" s="16">
        <v>46123</v>
      </c>
      <c r="P15" s="16">
        <v>46124</v>
      </c>
      <c r="Q15" s="16">
        <v>46125</v>
      </c>
      <c r="R15" s="16">
        <v>46126</v>
      </c>
      <c r="S15" s="16">
        <v>46127</v>
      </c>
      <c r="T15" s="16">
        <v>46128</v>
      </c>
      <c r="U15" s="16">
        <v>46129</v>
      </c>
      <c r="V15" s="16">
        <v>46130</v>
      </c>
      <c r="W15" s="16">
        <v>46131</v>
      </c>
      <c r="X15" s="17"/>
      <c r="Y15" s="17"/>
      <c r="Z15" s="17"/>
      <c r="AA15" s="17"/>
      <c r="AB15" s="17"/>
      <c r="AC15" s="17"/>
      <c r="AD15" s="17"/>
      <c r="AE15" s="17"/>
      <c r="AF15" s="17"/>
      <c r="AG15" s="2"/>
      <c r="AH15" s="2"/>
      <c r="AI15" s="2"/>
      <c r="AJ15" s="2"/>
      <c r="AK15" s="2"/>
      <c r="AL15" s="2"/>
      <c r="AM15" s="2"/>
      <c r="AN15" s="2"/>
      <c r="AO15" s="2"/>
    </row>
    <row r="16" spans="1:41" ht="16.5" customHeight="1" x14ac:dyDescent="0.3">
      <c r="A16" s="103" t="s">
        <v>131</v>
      </c>
      <c r="B16" s="95" t="s">
        <v>132</v>
      </c>
      <c r="C16" s="106"/>
      <c r="D16" s="93"/>
      <c r="E16" s="124" t="s">
        <v>25</v>
      </c>
      <c r="F16" s="93"/>
      <c r="G16" s="26">
        <v>2</v>
      </c>
      <c r="H16" s="26">
        <v>2</v>
      </c>
      <c r="I16" s="72">
        <v>2</v>
      </c>
      <c r="J16" s="27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9">
        <v>0</v>
      </c>
      <c r="W16" s="19">
        <v>0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ht="16.5" customHeight="1" x14ac:dyDescent="0.3">
      <c r="A17" s="104"/>
      <c r="B17" s="95" t="s">
        <v>133</v>
      </c>
      <c r="C17" s="106"/>
      <c r="D17" s="93"/>
      <c r="E17" s="95" t="s">
        <v>27</v>
      </c>
      <c r="F17" s="93"/>
      <c r="G17" s="26">
        <v>2</v>
      </c>
      <c r="H17" s="26">
        <v>2</v>
      </c>
      <c r="I17" s="72">
        <v>2</v>
      </c>
      <c r="J17" s="27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9">
        <v>0</v>
      </c>
      <c r="W17" s="19">
        <v>0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ht="16.5" customHeight="1" x14ac:dyDescent="0.3">
      <c r="A18" s="104"/>
      <c r="B18" s="95" t="s">
        <v>134</v>
      </c>
      <c r="C18" s="106"/>
      <c r="D18" s="93"/>
      <c r="E18" s="95" t="s">
        <v>44</v>
      </c>
      <c r="F18" s="93"/>
      <c r="G18" s="26">
        <v>3</v>
      </c>
      <c r="H18" s="26">
        <v>3</v>
      </c>
      <c r="I18" s="72">
        <v>3</v>
      </c>
      <c r="J18" s="27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9">
        <v>0</v>
      </c>
      <c r="W18" s="19">
        <v>0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ht="16.5" customHeight="1" x14ac:dyDescent="0.3">
      <c r="A19" s="104"/>
      <c r="B19" s="97" t="s">
        <v>29</v>
      </c>
      <c r="C19" s="95" t="s">
        <v>135</v>
      </c>
      <c r="D19" s="93"/>
      <c r="E19" s="95" t="s">
        <v>31</v>
      </c>
      <c r="F19" s="93"/>
      <c r="G19" s="26">
        <v>2</v>
      </c>
      <c r="H19" s="26">
        <v>3</v>
      </c>
      <c r="I19" s="26">
        <v>3</v>
      </c>
      <c r="J19" s="26">
        <v>3</v>
      </c>
      <c r="K19" s="27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9">
        <v>0</v>
      </c>
      <c r="W19" s="19">
        <v>0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ht="16.5" customHeight="1" x14ac:dyDescent="0.3">
      <c r="A20" s="104"/>
      <c r="B20" s="122"/>
      <c r="C20" s="66"/>
      <c r="D20" s="43"/>
      <c r="E20" s="66"/>
      <c r="F20" s="43"/>
      <c r="G20" s="26"/>
      <c r="H20" s="26"/>
      <c r="I20" s="26"/>
      <c r="J20" s="26"/>
      <c r="K20" s="71">
        <v>1</v>
      </c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19"/>
      <c r="W20" s="19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ht="16.5" customHeight="1" x14ac:dyDescent="0.3">
      <c r="A21" s="104"/>
      <c r="B21" s="98"/>
      <c r="C21" s="95" t="s">
        <v>136</v>
      </c>
      <c r="D21" s="93"/>
      <c r="E21" s="95" t="s">
        <v>31</v>
      </c>
      <c r="F21" s="93"/>
      <c r="G21" s="26">
        <v>1</v>
      </c>
      <c r="H21" s="26">
        <v>3</v>
      </c>
      <c r="I21" s="26">
        <v>3</v>
      </c>
      <c r="J21" s="26">
        <v>3</v>
      </c>
      <c r="K21" s="27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9">
        <v>0</v>
      </c>
      <c r="W21" s="19">
        <v>0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ht="16.5" customHeight="1" x14ac:dyDescent="0.3">
      <c r="A22" s="104"/>
      <c r="B22" s="98"/>
      <c r="C22" s="66"/>
      <c r="D22" s="43"/>
      <c r="E22" s="66"/>
      <c r="F22" s="43"/>
      <c r="G22" s="26"/>
      <c r="H22" s="26"/>
      <c r="I22" s="26"/>
      <c r="J22" s="26"/>
      <c r="K22" s="71">
        <v>2</v>
      </c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19"/>
      <c r="W22" s="19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ht="16.5" customHeight="1" x14ac:dyDescent="0.3">
      <c r="A23" s="104"/>
      <c r="B23" s="98"/>
      <c r="C23" s="95" t="s">
        <v>137</v>
      </c>
      <c r="D23" s="93"/>
      <c r="E23" s="95" t="s">
        <v>31</v>
      </c>
      <c r="F23" s="93"/>
      <c r="G23" s="26">
        <v>2</v>
      </c>
      <c r="H23" s="26">
        <v>3</v>
      </c>
      <c r="I23" s="26">
        <v>3</v>
      </c>
      <c r="J23" s="26">
        <v>3</v>
      </c>
      <c r="K23" s="27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9">
        <v>0</v>
      </c>
      <c r="W23" s="19">
        <v>0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ht="16.5" customHeight="1" x14ac:dyDescent="0.3">
      <c r="A24" s="104"/>
      <c r="B24" s="98"/>
      <c r="C24" s="66"/>
      <c r="D24" s="43"/>
      <c r="E24" s="66"/>
      <c r="F24" s="43"/>
      <c r="G24" s="26"/>
      <c r="H24" s="26"/>
      <c r="I24" s="26"/>
      <c r="J24" s="26"/>
      <c r="K24" s="71">
        <v>1</v>
      </c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19"/>
      <c r="W24" s="19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ht="16.5" customHeight="1" x14ac:dyDescent="0.3">
      <c r="A25" s="104"/>
      <c r="B25" s="98"/>
      <c r="C25" s="95" t="s">
        <v>138</v>
      </c>
      <c r="D25" s="93"/>
      <c r="E25" s="95" t="s">
        <v>31</v>
      </c>
      <c r="F25" s="93"/>
      <c r="G25" s="26">
        <v>3</v>
      </c>
      <c r="H25" s="26">
        <v>3</v>
      </c>
      <c r="I25" s="26">
        <v>3</v>
      </c>
      <c r="J25" s="26">
        <v>3</v>
      </c>
      <c r="K25" s="27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9">
        <v>0</v>
      </c>
      <c r="W25" s="19">
        <v>0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ht="16.5" customHeight="1" x14ac:dyDescent="0.3">
      <c r="A26" s="104"/>
      <c r="B26" s="98"/>
      <c r="C26" s="95" t="s">
        <v>139</v>
      </c>
      <c r="D26" s="93"/>
      <c r="E26" s="95" t="s">
        <v>31</v>
      </c>
      <c r="F26" s="93"/>
      <c r="G26" s="26">
        <v>3</v>
      </c>
      <c r="H26" s="26">
        <v>3</v>
      </c>
      <c r="I26" s="26">
        <v>3</v>
      </c>
      <c r="J26" s="26">
        <v>3</v>
      </c>
      <c r="K26" s="27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9">
        <v>0</v>
      </c>
      <c r="W26" s="19">
        <v>0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ht="16.5" customHeight="1" x14ac:dyDescent="0.3">
      <c r="A27" s="104"/>
      <c r="B27" s="97" t="s">
        <v>43</v>
      </c>
      <c r="C27" s="119" t="s">
        <v>135</v>
      </c>
      <c r="D27" s="120"/>
      <c r="E27" s="119" t="s">
        <v>44</v>
      </c>
      <c r="F27" s="120"/>
      <c r="G27" s="26">
        <v>4</v>
      </c>
      <c r="H27" s="26">
        <v>3</v>
      </c>
      <c r="I27" s="26">
        <v>3</v>
      </c>
      <c r="J27" s="26">
        <v>3</v>
      </c>
      <c r="K27" s="28">
        <v>3</v>
      </c>
      <c r="L27" s="21">
        <v>0</v>
      </c>
      <c r="M27" s="19">
        <v>0</v>
      </c>
      <c r="N27" s="19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9">
        <v>0</v>
      </c>
      <c r="W27" s="19">
        <v>0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ht="16.5" customHeight="1" x14ac:dyDescent="0.3">
      <c r="A28" s="104"/>
      <c r="B28" s="122"/>
      <c r="C28" s="66"/>
      <c r="D28" s="67"/>
      <c r="E28" s="66"/>
      <c r="F28" s="67"/>
      <c r="G28" s="26"/>
      <c r="H28" s="26"/>
      <c r="I28" s="26"/>
      <c r="J28" s="26"/>
      <c r="K28" s="73"/>
      <c r="L28" s="68">
        <v>1</v>
      </c>
      <c r="M28" s="19"/>
      <c r="N28" s="19"/>
      <c r="O28" s="66"/>
      <c r="P28" s="66"/>
      <c r="Q28" s="66"/>
      <c r="R28" s="66"/>
      <c r="S28" s="66"/>
      <c r="T28" s="66"/>
      <c r="U28" s="66"/>
      <c r="V28" s="19"/>
      <c r="W28" s="19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ht="16.5" customHeight="1" x14ac:dyDescent="0.3">
      <c r="A29" s="104"/>
      <c r="B29" s="98"/>
      <c r="C29" s="119" t="s">
        <v>136</v>
      </c>
      <c r="D29" s="120"/>
      <c r="E29" s="119" t="s">
        <v>44</v>
      </c>
      <c r="F29" s="120"/>
      <c r="G29" s="26">
        <v>3</v>
      </c>
      <c r="H29" s="26">
        <v>3</v>
      </c>
      <c r="I29" s="26">
        <v>3</v>
      </c>
      <c r="J29" s="26">
        <v>3</v>
      </c>
      <c r="K29" s="28">
        <v>3</v>
      </c>
      <c r="L29" s="21">
        <v>0</v>
      </c>
      <c r="M29" s="19">
        <v>0</v>
      </c>
      <c r="N29" s="19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9">
        <v>0</v>
      </c>
      <c r="W29" s="19">
        <v>0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ht="16.5" customHeight="1" x14ac:dyDescent="0.3">
      <c r="A30" s="104"/>
      <c r="B30" s="98"/>
      <c r="C30" s="119" t="s">
        <v>137</v>
      </c>
      <c r="D30" s="120"/>
      <c r="E30" s="119" t="s">
        <v>44</v>
      </c>
      <c r="F30" s="120"/>
      <c r="G30" s="26">
        <v>3</v>
      </c>
      <c r="H30" s="26">
        <v>3</v>
      </c>
      <c r="I30" s="26">
        <v>3</v>
      </c>
      <c r="J30" s="26">
        <v>3</v>
      </c>
      <c r="K30" s="28">
        <v>3</v>
      </c>
      <c r="L30" s="21">
        <v>0</v>
      </c>
      <c r="M30" s="19">
        <v>0</v>
      </c>
      <c r="N30" s="19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9">
        <v>0</v>
      </c>
      <c r="W30" s="19">
        <v>0</v>
      </c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ht="16.5" customHeight="1" x14ac:dyDescent="0.3">
      <c r="A31" s="104"/>
      <c r="B31" s="98"/>
      <c r="C31" s="119" t="s">
        <v>138</v>
      </c>
      <c r="D31" s="120"/>
      <c r="E31" s="119" t="s">
        <v>45</v>
      </c>
      <c r="F31" s="120"/>
      <c r="G31" s="26">
        <v>4</v>
      </c>
      <c r="H31" s="26">
        <v>3</v>
      </c>
      <c r="I31" s="26">
        <v>3</v>
      </c>
      <c r="J31" s="26">
        <v>3</v>
      </c>
      <c r="K31" s="28">
        <v>3</v>
      </c>
      <c r="L31" s="21">
        <v>0</v>
      </c>
      <c r="M31" s="19">
        <v>0</v>
      </c>
      <c r="N31" s="19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9">
        <v>0</v>
      </c>
      <c r="W31" s="19">
        <v>0</v>
      </c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ht="16.5" customHeight="1" x14ac:dyDescent="0.3">
      <c r="A32" s="104"/>
      <c r="B32" s="98"/>
      <c r="C32" s="66"/>
      <c r="D32" s="67"/>
      <c r="E32" s="66"/>
      <c r="F32" s="67"/>
      <c r="G32" s="26"/>
      <c r="H32" s="26"/>
      <c r="I32" s="26"/>
      <c r="J32" s="26"/>
      <c r="K32" s="73"/>
      <c r="L32" s="68">
        <v>1</v>
      </c>
      <c r="M32" s="19"/>
      <c r="N32" s="19"/>
      <c r="O32" s="66"/>
      <c r="P32" s="66"/>
      <c r="Q32" s="66"/>
      <c r="R32" s="66"/>
      <c r="S32" s="66"/>
      <c r="T32" s="66"/>
      <c r="U32" s="66"/>
      <c r="V32" s="19"/>
      <c r="W32" s="19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ht="16.5" customHeight="1" x14ac:dyDescent="0.3">
      <c r="A33" s="104"/>
      <c r="B33" s="98"/>
      <c r="C33" s="119" t="s">
        <v>139</v>
      </c>
      <c r="D33" s="120"/>
      <c r="E33" s="119" t="s">
        <v>27</v>
      </c>
      <c r="F33" s="120"/>
      <c r="G33" s="26">
        <v>2</v>
      </c>
      <c r="H33" s="26">
        <v>3</v>
      </c>
      <c r="I33" s="26">
        <v>3</v>
      </c>
      <c r="J33" s="26">
        <v>3</v>
      </c>
      <c r="K33" s="26">
        <v>3</v>
      </c>
      <c r="L33" s="21">
        <v>0</v>
      </c>
      <c r="M33" s="19">
        <v>0</v>
      </c>
      <c r="N33" s="19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9">
        <v>0</v>
      </c>
      <c r="W33" s="19">
        <v>0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ht="16.5" customHeight="1" x14ac:dyDescent="0.3">
      <c r="A34" s="104"/>
      <c r="B34" s="44"/>
      <c r="C34" s="66"/>
      <c r="D34" s="67"/>
      <c r="E34" s="66"/>
      <c r="F34" s="67"/>
      <c r="G34" s="26"/>
      <c r="H34" s="26"/>
      <c r="I34" s="26"/>
      <c r="J34" s="26"/>
      <c r="K34" s="26"/>
      <c r="L34" s="74">
        <v>1</v>
      </c>
      <c r="M34" s="66"/>
      <c r="N34" s="66"/>
      <c r="O34" s="66"/>
      <c r="P34" s="66"/>
      <c r="Q34" s="66"/>
      <c r="R34" s="66"/>
      <c r="S34" s="66"/>
      <c r="T34" s="66"/>
      <c r="U34" s="66"/>
      <c r="V34" s="19"/>
      <c r="W34" s="19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ht="16.5" customHeight="1" x14ac:dyDescent="0.3">
      <c r="A35" s="104"/>
      <c r="B35" s="97" t="s">
        <v>47</v>
      </c>
      <c r="C35" s="119" t="s">
        <v>140</v>
      </c>
      <c r="D35" s="120"/>
      <c r="E35" s="119" t="s">
        <v>49</v>
      </c>
      <c r="F35" s="120"/>
      <c r="G35" s="26">
        <v>2</v>
      </c>
      <c r="H35" s="26">
        <v>3</v>
      </c>
      <c r="I35" s="26">
        <v>3</v>
      </c>
      <c r="J35" s="26">
        <v>3</v>
      </c>
      <c r="K35" s="26">
        <v>3</v>
      </c>
      <c r="L35" s="26">
        <v>3</v>
      </c>
      <c r="M35" s="27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9">
        <v>0</v>
      </c>
      <c r="W35" s="19">
        <v>0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ht="16.5" customHeight="1" x14ac:dyDescent="0.3">
      <c r="A36" s="104"/>
      <c r="B36" s="122"/>
      <c r="C36" s="66"/>
      <c r="D36" s="67"/>
      <c r="E36" s="66"/>
      <c r="F36" s="67"/>
      <c r="G36" s="26"/>
      <c r="H36" s="26"/>
      <c r="I36" s="26"/>
      <c r="J36" s="26"/>
      <c r="K36" s="26"/>
      <c r="L36" s="26"/>
      <c r="M36" s="71">
        <v>1</v>
      </c>
      <c r="N36" s="66"/>
      <c r="O36" s="66"/>
      <c r="P36" s="66"/>
      <c r="Q36" s="66"/>
      <c r="R36" s="66"/>
      <c r="S36" s="66"/>
      <c r="T36" s="66"/>
      <c r="U36" s="66"/>
      <c r="V36" s="19"/>
      <c r="W36" s="19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ht="16.5" customHeight="1" x14ac:dyDescent="0.3">
      <c r="A37" s="104"/>
      <c r="B37" s="98"/>
      <c r="C37" s="119" t="s">
        <v>141</v>
      </c>
      <c r="D37" s="120"/>
      <c r="E37" s="119" t="s">
        <v>49</v>
      </c>
      <c r="F37" s="120"/>
      <c r="G37" s="26">
        <v>3</v>
      </c>
      <c r="H37" s="26">
        <v>3</v>
      </c>
      <c r="I37" s="26">
        <v>3</v>
      </c>
      <c r="J37" s="26">
        <v>3</v>
      </c>
      <c r="K37" s="26">
        <v>3</v>
      </c>
      <c r="L37" s="26">
        <v>3</v>
      </c>
      <c r="M37" s="27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9">
        <v>0</v>
      </c>
      <c r="W37" s="19">
        <v>0</v>
      </c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ht="16.5" customHeight="1" x14ac:dyDescent="0.3">
      <c r="A38" s="104"/>
      <c r="B38" s="98"/>
      <c r="C38" s="119" t="s">
        <v>142</v>
      </c>
      <c r="D38" s="120"/>
      <c r="E38" s="119" t="s">
        <v>52</v>
      </c>
      <c r="F38" s="120"/>
      <c r="G38" s="26">
        <v>3</v>
      </c>
      <c r="H38" s="26">
        <v>3</v>
      </c>
      <c r="I38" s="26">
        <v>3</v>
      </c>
      <c r="J38" s="26">
        <v>3</v>
      </c>
      <c r="K38" s="26">
        <v>3</v>
      </c>
      <c r="L38" s="26">
        <v>3</v>
      </c>
      <c r="M38" s="27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9">
        <v>0</v>
      </c>
      <c r="W38" s="19">
        <v>0</v>
      </c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ht="16.5" customHeight="1" x14ac:dyDescent="0.3">
      <c r="A39" s="104"/>
      <c r="B39" s="98"/>
      <c r="C39" s="119" t="s">
        <v>143</v>
      </c>
      <c r="D39" s="120"/>
      <c r="E39" s="119" t="s">
        <v>49</v>
      </c>
      <c r="F39" s="120"/>
      <c r="G39" s="26">
        <v>3</v>
      </c>
      <c r="H39" s="26">
        <v>3</v>
      </c>
      <c r="I39" s="26">
        <v>3</v>
      </c>
      <c r="J39" s="26">
        <v>3</v>
      </c>
      <c r="K39" s="26">
        <v>3</v>
      </c>
      <c r="L39" s="26">
        <v>3</v>
      </c>
      <c r="M39" s="26">
        <v>3</v>
      </c>
      <c r="N39" s="27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9">
        <v>0</v>
      </c>
      <c r="W39" s="19">
        <v>0</v>
      </c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ht="16.5" customHeight="1" x14ac:dyDescent="0.3">
      <c r="A40" s="104"/>
      <c r="B40" s="98"/>
      <c r="C40" s="119" t="s">
        <v>144</v>
      </c>
      <c r="D40" s="120"/>
      <c r="E40" s="119" t="s">
        <v>49</v>
      </c>
      <c r="F40" s="120"/>
      <c r="G40" s="26">
        <v>4</v>
      </c>
      <c r="H40" s="26">
        <v>3</v>
      </c>
      <c r="I40" s="26">
        <v>3</v>
      </c>
      <c r="J40" s="26">
        <v>3</v>
      </c>
      <c r="K40" s="26">
        <v>3</v>
      </c>
      <c r="L40" s="26">
        <v>3</v>
      </c>
      <c r="M40" s="26">
        <v>3</v>
      </c>
      <c r="N40" s="27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9">
        <v>0</v>
      </c>
      <c r="W40" s="19">
        <v>0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ht="16.5" customHeight="1" x14ac:dyDescent="0.3">
      <c r="A41" s="104"/>
      <c r="B41" s="98"/>
      <c r="C41" s="66"/>
      <c r="D41" s="67"/>
      <c r="E41" s="66"/>
      <c r="F41" s="67"/>
      <c r="G41" s="26"/>
      <c r="H41" s="26"/>
      <c r="I41" s="26"/>
      <c r="J41" s="26"/>
      <c r="K41" s="26"/>
      <c r="L41" s="26"/>
      <c r="M41" s="26"/>
      <c r="N41" s="75">
        <v>1</v>
      </c>
      <c r="O41" s="66"/>
      <c r="P41" s="66"/>
      <c r="Q41" s="66"/>
      <c r="R41" s="66"/>
      <c r="S41" s="66"/>
      <c r="T41" s="66"/>
      <c r="U41" s="66"/>
      <c r="V41" s="19"/>
      <c r="W41" s="19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ht="16.5" customHeight="1" x14ac:dyDescent="0.3">
      <c r="A42" s="104"/>
      <c r="B42" s="98"/>
      <c r="C42" s="119" t="s">
        <v>145</v>
      </c>
      <c r="D42" s="120"/>
      <c r="E42" s="119" t="s">
        <v>52</v>
      </c>
      <c r="F42" s="120"/>
      <c r="G42" s="26">
        <v>3</v>
      </c>
      <c r="H42" s="26">
        <v>3</v>
      </c>
      <c r="I42" s="26">
        <v>3</v>
      </c>
      <c r="J42" s="26">
        <v>3</v>
      </c>
      <c r="K42" s="26">
        <v>3</v>
      </c>
      <c r="L42" s="26">
        <v>3</v>
      </c>
      <c r="M42" s="26">
        <v>3</v>
      </c>
      <c r="N42" s="27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9">
        <v>0</v>
      </c>
      <c r="W42" s="19">
        <v>0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6.5" customHeight="1" x14ac:dyDescent="0.3">
      <c r="A43" s="104"/>
      <c r="B43" s="98"/>
      <c r="C43" s="119" t="s">
        <v>146</v>
      </c>
      <c r="D43" s="120"/>
      <c r="E43" s="119" t="s">
        <v>49</v>
      </c>
      <c r="F43" s="120"/>
      <c r="G43" s="26">
        <v>2</v>
      </c>
      <c r="H43" s="26">
        <v>4</v>
      </c>
      <c r="I43" s="26">
        <v>4</v>
      </c>
      <c r="J43" s="26">
        <v>4</v>
      </c>
      <c r="K43" s="26">
        <v>4</v>
      </c>
      <c r="L43" s="26">
        <v>4</v>
      </c>
      <c r="M43" s="26">
        <v>4</v>
      </c>
      <c r="N43" s="26">
        <v>4</v>
      </c>
      <c r="O43" s="27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9">
        <v>0</v>
      </c>
      <c r="W43" s="19">
        <v>0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6.5" customHeight="1" x14ac:dyDescent="0.3">
      <c r="A44" s="104"/>
      <c r="B44" s="98"/>
      <c r="C44" s="66"/>
      <c r="D44" s="67"/>
      <c r="E44" s="66"/>
      <c r="F44" s="67"/>
      <c r="G44" s="26"/>
      <c r="H44" s="26"/>
      <c r="I44" s="26"/>
      <c r="J44" s="26"/>
      <c r="K44" s="26"/>
      <c r="L44" s="26"/>
      <c r="M44" s="26"/>
      <c r="N44" s="26"/>
      <c r="O44" s="71">
        <v>2</v>
      </c>
      <c r="P44" s="66"/>
      <c r="Q44" s="66"/>
      <c r="R44" s="66"/>
      <c r="S44" s="66"/>
      <c r="T44" s="66"/>
      <c r="U44" s="66"/>
      <c r="V44" s="19"/>
      <c r="W44" s="19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6.5" customHeight="1" x14ac:dyDescent="0.3">
      <c r="A45" s="104"/>
      <c r="B45" s="98"/>
      <c r="C45" s="119" t="s">
        <v>147</v>
      </c>
      <c r="D45" s="120"/>
      <c r="E45" s="119" t="s">
        <v>49</v>
      </c>
      <c r="F45" s="120"/>
      <c r="G45" s="26">
        <v>4</v>
      </c>
      <c r="H45" s="26">
        <v>4</v>
      </c>
      <c r="I45" s="26">
        <v>4</v>
      </c>
      <c r="J45" s="26">
        <v>4</v>
      </c>
      <c r="K45" s="26">
        <v>4</v>
      </c>
      <c r="L45" s="26">
        <v>4</v>
      </c>
      <c r="M45" s="26">
        <v>4</v>
      </c>
      <c r="N45" s="26">
        <v>4</v>
      </c>
      <c r="O45" s="27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9">
        <v>0</v>
      </c>
      <c r="W45" s="19">
        <v>0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6.5" customHeight="1" x14ac:dyDescent="0.3">
      <c r="A46" s="104"/>
      <c r="B46" s="98"/>
      <c r="C46" s="119" t="s">
        <v>148</v>
      </c>
      <c r="D46" s="120"/>
      <c r="E46" s="119" t="s">
        <v>52</v>
      </c>
      <c r="F46" s="120"/>
      <c r="G46" s="26">
        <v>4</v>
      </c>
      <c r="H46" s="26">
        <v>4</v>
      </c>
      <c r="I46" s="26">
        <v>4</v>
      </c>
      <c r="J46" s="26">
        <v>4</v>
      </c>
      <c r="K46" s="26">
        <v>4</v>
      </c>
      <c r="L46" s="26">
        <v>4</v>
      </c>
      <c r="M46" s="26">
        <v>4</v>
      </c>
      <c r="N46" s="26">
        <v>4</v>
      </c>
      <c r="O46" s="27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9">
        <v>0</v>
      </c>
      <c r="W46" s="19">
        <v>0</v>
      </c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6.5" customHeight="1" x14ac:dyDescent="0.3">
      <c r="A47" s="104"/>
      <c r="B47" s="98"/>
      <c r="C47" s="119" t="s">
        <v>149</v>
      </c>
      <c r="D47" s="120"/>
      <c r="E47" s="119" t="s">
        <v>49</v>
      </c>
      <c r="F47" s="120"/>
      <c r="G47" s="26">
        <v>2</v>
      </c>
      <c r="H47" s="26">
        <v>4</v>
      </c>
      <c r="I47" s="26">
        <v>4</v>
      </c>
      <c r="J47" s="26">
        <v>4</v>
      </c>
      <c r="K47" s="26">
        <v>4</v>
      </c>
      <c r="L47" s="26">
        <v>4</v>
      </c>
      <c r="M47" s="26">
        <v>4</v>
      </c>
      <c r="N47" s="26">
        <v>4</v>
      </c>
      <c r="O47" s="26">
        <v>4</v>
      </c>
      <c r="P47" s="27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9">
        <v>0</v>
      </c>
      <c r="W47" s="19">
        <v>0</v>
      </c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6.5" customHeight="1" x14ac:dyDescent="0.3">
      <c r="A48" s="104"/>
      <c r="B48" s="98"/>
      <c r="C48" s="66"/>
      <c r="D48" s="67"/>
      <c r="E48" s="66"/>
      <c r="F48" s="67"/>
      <c r="G48" s="26"/>
      <c r="H48" s="26"/>
      <c r="I48" s="26"/>
      <c r="J48" s="26"/>
      <c r="K48" s="26"/>
      <c r="L48" s="26"/>
      <c r="M48" s="26"/>
      <c r="N48" s="26"/>
      <c r="O48" s="26"/>
      <c r="P48" s="71">
        <v>2</v>
      </c>
      <c r="Q48" s="66"/>
      <c r="R48" s="66"/>
      <c r="S48" s="66"/>
      <c r="T48" s="66"/>
      <c r="U48" s="66"/>
      <c r="V48" s="19"/>
      <c r="W48" s="19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6.5" customHeight="1" x14ac:dyDescent="0.3">
      <c r="A49" s="104"/>
      <c r="B49" s="98"/>
      <c r="C49" s="119" t="s">
        <v>150</v>
      </c>
      <c r="D49" s="120"/>
      <c r="E49" s="119" t="s">
        <v>49</v>
      </c>
      <c r="F49" s="120"/>
      <c r="G49" s="26">
        <v>4</v>
      </c>
      <c r="H49" s="26">
        <v>4</v>
      </c>
      <c r="I49" s="26">
        <v>4</v>
      </c>
      <c r="J49" s="26">
        <v>4</v>
      </c>
      <c r="K49" s="26">
        <v>4</v>
      </c>
      <c r="L49" s="26">
        <v>4</v>
      </c>
      <c r="M49" s="26">
        <v>4</v>
      </c>
      <c r="N49" s="26">
        <v>4</v>
      </c>
      <c r="O49" s="26">
        <v>4</v>
      </c>
      <c r="P49" s="27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9">
        <v>0</v>
      </c>
      <c r="W49" s="19">
        <v>0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6.5" customHeight="1" x14ac:dyDescent="0.3">
      <c r="A50" s="104"/>
      <c r="B50" s="98"/>
      <c r="C50" s="119" t="s">
        <v>151</v>
      </c>
      <c r="D50" s="120"/>
      <c r="E50" s="119" t="s">
        <v>52</v>
      </c>
      <c r="F50" s="120"/>
      <c r="G50" s="26">
        <v>4</v>
      </c>
      <c r="H50" s="26">
        <v>4</v>
      </c>
      <c r="I50" s="26">
        <v>4</v>
      </c>
      <c r="J50" s="26">
        <v>4</v>
      </c>
      <c r="K50" s="26">
        <v>4</v>
      </c>
      <c r="L50" s="26">
        <v>4</v>
      </c>
      <c r="M50" s="26">
        <v>4</v>
      </c>
      <c r="N50" s="26">
        <v>4</v>
      </c>
      <c r="O50" s="26">
        <v>4</v>
      </c>
      <c r="P50" s="27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9">
        <v>0</v>
      </c>
      <c r="W50" s="19">
        <v>0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6.5" customHeight="1" x14ac:dyDescent="0.3">
      <c r="A51" s="104"/>
      <c r="B51" s="98"/>
      <c r="C51" s="119" t="s">
        <v>152</v>
      </c>
      <c r="D51" s="120"/>
      <c r="E51" s="119" t="s">
        <v>49</v>
      </c>
      <c r="F51" s="120"/>
      <c r="G51" s="26">
        <v>4</v>
      </c>
      <c r="H51" s="26">
        <v>4</v>
      </c>
      <c r="I51" s="26">
        <v>4</v>
      </c>
      <c r="J51" s="26">
        <v>4</v>
      </c>
      <c r="K51" s="26">
        <v>4</v>
      </c>
      <c r="L51" s="26">
        <v>4</v>
      </c>
      <c r="M51" s="26">
        <v>4</v>
      </c>
      <c r="N51" s="26">
        <v>4</v>
      </c>
      <c r="O51" s="26">
        <v>4</v>
      </c>
      <c r="P51" s="26">
        <v>4</v>
      </c>
      <c r="Q51" s="27">
        <v>0</v>
      </c>
      <c r="R51" s="18">
        <v>0</v>
      </c>
      <c r="S51" s="18">
        <v>0</v>
      </c>
      <c r="T51" s="18">
        <v>0</v>
      </c>
      <c r="U51" s="18">
        <v>0</v>
      </c>
      <c r="V51" s="19">
        <v>0</v>
      </c>
      <c r="W51" s="19">
        <v>0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6.5" customHeight="1" x14ac:dyDescent="0.3">
      <c r="A52" s="104"/>
      <c r="B52" s="98"/>
      <c r="C52" s="119" t="s">
        <v>153</v>
      </c>
      <c r="D52" s="120"/>
      <c r="E52" s="119" t="s">
        <v>49</v>
      </c>
      <c r="F52" s="120"/>
      <c r="G52" s="26">
        <v>4</v>
      </c>
      <c r="H52" s="26">
        <v>4</v>
      </c>
      <c r="I52" s="26">
        <v>4</v>
      </c>
      <c r="J52" s="26">
        <v>4</v>
      </c>
      <c r="K52" s="26">
        <v>4</v>
      </c>
      <c r="L52" s="26">
        <v>4</v>
      </c>
      <c r="M52" s="26">
        <v>4</v>
      </c>
      <c r="N52" s="26">
        <v>4</v>
      </c>
      <c r="O52" s="26">
        <v>4</v>
      </c>
      <c r="P52" s="26">
        <v>4</v>
      </c>
      <c r="Q52" s="27">
        <v>0</v>
      </c>
      <c r="R52" s="18">
        <v>0</v>
      </c>
      <c r="S52" s="18">
        <v>0</v>
      </c>
      <c r="T52" s="18">
        <v>0</v>
      </c>
      <c r="U52" s="18">
        <v>0</v>
      </c>
      <c r="V52" s="19">
        <v>0</v>
      </c>
      <c r="W52" s="19">
        <v>0</v>
      </c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6.5" customHeight="1" x14ac:dyDescent="0.3">
      <c r="A53" s="104"/>
      <c r="B53" s="99"/>
      <c r="C53" s="119" t="s">
        <v>154</v>
      </c>
      <c r="D53" s="120"/>
      <c r="E53" s="119" t="s">
        <v>52</v>
      </c>
      <c r="F53" s="120"/>
      <c r="G53" s="26">
        <v>4</v>
      </c>
      <c r="H53" s="26">
        <v>4</v>
      </c>
      <c r="I53" s="26">
        <v>4</v>
      </c>
      <c r="J53" s="26">
        <v>4</v>
      </c>
      <c r="K53" s="26">
        <v>4</v>
      </c>
      <c r="L53" s="26">
        <v>4</v>
      </c>
      <c r="M53" s="26">
        <v>4</v>
      </c>
      <c r="N53" s="26">
        <v>4</v>
      </c>
      <c r="O53" s="26">
        <v>4</v>
      </c>
      <c r="P53" s="26">
        <v>4</v>
      </c>
      <c r="Q53" s="27">
        <v>0</v>
      </c>
      <c r="R53" s="18">
        <v>0</v>
      </c>
      <c r="S53" s="18">
        <v>0</v>
      </c>
      <c r="T53" s="18">
        <v>0</v>
      </c>
      <c r="U53" s="18">
        <v>0</v>
      </c>
      <c r="V53" s="19">
        <v>0</v>
      </c>
      <c r="W53" s="19">
        <v>0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6.5" customHeight="1" x14ac:dyDescent="0.3">
      <c r="A54" s="104"/>
      <c r="B54" s="123" t="s">
        <v>86</v>
      </c>
      <c r="C54" s="119" t="s">
        <v>155</v>
      </c>
      <c r="D54" s="120"/>
      <c r="E54" s="119" t="s">
        <v>44</v>
      </c>
      <c r="F54" s="120"/>
      <c r="G54" s="26">
        <v>4</v>
      </c>
      <c r="H54" s="26">
        <v>2</v>
      </c>
      <c r="I54" s="26">
        <v>2</v>
      </c>
      <c r="J54" s="26">
        <v>2</v>
      </c>
      <c r="K54" s="26">
        <v>2</v>
      </c>
      <c r="L54" s="26">
        <v>2</v>
      </c>
      <c r="M54" s="26">
        <v>2</v>
      </c>
      <c r="N54" s="26">
        <v>2</v>
      </c>
      <c r="O54" s="26">
        <v>2</v>
      </c>
      <c r="P54" s="26">
        <v>2</v>
      </c>
      <c r="Q54" s="26">
        <v>2</v>
      </c>
      <c r="R54" s="70">
        <v>0</v>
      </c>
      <c r="S54" s="18">
        <v>0</v>
      </c>
      <c r="T54" s="18">
        <v>0</v>
      </c>
      <c r="U54" s="18">
        <v>0</v>
      </c>
      <c r="V54" s="19">
        <v>0</v>
      </c>
      <c r="W54" s="19">
        <v>0</v>
      </c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6.5" customHeight="1" x14ac:dyDescent="0.3">
      <c r="A55" s="104"/>
      <c r="B55" s="123"/>
      <c r="C55" s="66"/>
      <c r="D55" s="67"/>
      <c r="E55" s="66"/>
      <c r="F55" s="67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76">
        <v>2</v>
      </c>
      <c r="S55" s="66"/>
      <c r="T55" s="66"/>
      <c r="U55" s="66"/>
      <c r="V55" s="19"/>
      <c r="W55" s="19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6.5" customHeight="1" x14ac:dyDescent="0.3">
      <c r="A56" s="104"/>
      <c r="B56" s="123"/>
      <c r="C56" s="119" t="s">
        <v>156</v>
      </c>
      <c r="D56" s="120"/>
      <c r="E56" s="119" t="s">
        <v>44</v>
      </c>
      <c r="F56" s="120"/>
      <c r="G56" s="26">
        <v>2</v>
      </c>
      <c r="H56" s="26">
        <v>2</v>
      </c>
      <c r="I56" s="26">
        <v>2</v>
      </c>
      <c r="J56" s="26">
        <v>2</v>
      </c>
      <c r="K56" s="26">
        <v>2</v>
      </c>
      <c r="L56" s="26">
        <v>2</v>
      </c>
      <c r="M56" s="26">
        <v>2</v>
      </c>
      <c r="N56" s="26">
        <v>2</v>
      </c>
      <c r="O56" s="26">
        <v>2</v>
      </c>
      <c r="P56" s="26">
        <v>2</v>
      </c>
      <c r="Q56" s="26">
        <v>2</v>
      </c>
      <c r="R56" s="70">
        <v>0</v>
      </c>
      <c r="S56" s="18">
        <v>0</v>
      </c>
      <c r="T56" s="18">
        <v>0</v>
      </c>
      <c r="U56" s="18">
        <v>0</v>
      </c>
      <c r="V56" s="19">
        <v>0</v>
      </c>
      <c r="W56" s="19">
        <v>0</v>
      </c>
      <c r="X56" s="29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6.5" customHeight="1" x14ac:dyDescent="0.3">
      <c r="A57" s="104"/>
      <c r="B57" s="123"/>
      <c r="C57" s="119" t="s">
        <v>157</v>
      </c>
      <c r="D57" s="120"/>
      <c r="E57" s="119" t="s">
        <v>45</v>
      </c>
      <c r="F57" s="120"/>
      <c r="G57" s="26">
        <v>2</v>
      </c>
      <c r="H57" s="26">
        <v>2</v>
      </c>
      <c r="I57" s="26">
        <v>2</v>
      </c>
      <c r="J57" s="26">
        <v>2</v>
      </c>
      <c r="K57" s="26">
        <v>2</v>
      </c>
      <c r="L57" s="26">
        <v>2</v>
      </c>
      <c r="M57" s="26">
        <v>2</v>
      </c>
      <c r="N57" s="26">
        <v>2</v>
      </c>
      <c r="O57" s="26">
        <v>2</v>
      </c>
      <c r="P57" s="26">
        <v>2</v>
      </c>
      <c r="Q57" s="26">
        <v>2</v>
      </c>
      <c r="R57" s="70">
        <v>0</v>
      </c>
      <c r="S57" s="18">
        <v>0</v>
      </c>
      <c r="T57" s="18">
        <v>0</v>
      </c>
      <c r="U57" s="18">
        <v>0</v>
      </c>
      <c r="V57" s="19">
        <v>0</v>
      </c>
      <c r="W57" s="19">
        <v>0</v>
      </c>
      <c r="X57" s="29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6.5" customHeight="1" x14ac:dyDescent="0.3">
      <c r="A58" s="104"/>
      <c r="B58" s="123"/>
      <c r="C58" s="119" t="s">
        <v>158</v>
      </c>
      <c r="D58" s="120"/>
      <c r="E58" s="119" t="s">
        <v>44</v>
      </c>
      <c r="F58" s="120"/>
      <c r="G58" s="26">
        <v>2</v>
      </c>
      <c r="H58" s="26">
        <v>2</v>
      </c>
      <c r="I58" s="26">
        <v>2</v>
      </c>
      <c r="J58" s="26">
        <v>2</v>
      </c>
      <c r="K58" s="26">
        <v>2</v>
      </c>
      <c r="L58" s="26">
        <v>2</v>
      </c>
      <c r="M58" s="26">
        <v>2</v>
      </c>
      <c r="N58" s="26">
        <v>2</v>
      </c>
      <c r="O58" s="26">
        <v>2</v>
      </c>
      <c r="P58" s="26">
        <v>2</v>
      </c>
      <c r="Q58" s="26">
        <v>2</v>
      </c>
      <c r="R58" s="26">
        <v>2</v>
      </c>
      <c r="S58" s="70">
        <v>0</v>
      </c>
      <c r="T58" s="18">
        <v>0</v>
      </c>
      <c r="U58" s="18">
        <v>0</v>
      </c>
      <c r="V58" s="19">
        <v>0</v>
      </c>
      <c r="W58" s="19">
        <v>0</v>
      </c>
      <c r="X58" s="29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6.5" customHeight="1" x14ac:dyDescent="0.3">
      <c r="A59" s="104"/>
      <c r="B59" s="123"/>
      <c r="C59" s="119" t="s">
        <v>159</v>
      </c>
      <c r="D59" s="120"/>
      <c r="E59" s="119" t="s">
        <v>44</v>
      </c>
      <c r="F59" s="120"/>
      <c r="G59" s="26">
        <v>2</v>
      </c>
      <c r="H59" s="26">
        <v>2</v>
      </c>
      <c r="I59" s="26">
        <v>2</v>
      </c>
      <c r="J59" s="26">
        <v>2</v>
      </c>
      <c r="K59" s="26">
        <v>2</v>
      </c>
      <c r="L59" s="26">
        <v>2</v>
      </c>
      <c r="M59" s="26">
        <v>2</v>
      </c>
      <c r="N59" s="26">
        <v>2</v>
      </c>
      <c r="O59" s="26">
        <v>2</v>
      </c>
      <c r="P59" s="26">
        <v>2</v>
      </c>
      <c r="Q59" s="26">
        <v>2</v>
      </c>
      <c r="R59" s="26">
        <v>2</v>
      </c>
      <c r="S59" s="70">
        <v>0</v>
      </c>
      <c r="T59" s="18">
        <v>0</v>
      </c>
      <c r="U59" s="18">
        <v>0</v>
      </c>
      <c r="V59" s="19">
        <v>0</v>
      </c>
      <c r="W59" s="19">
        <v>0</v>
      </c>
      <c r="X59" s="29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6.5" customHeight="1" x14ac:dyDescent="0.3">
      <c r="A60" s="104"/>
      <c r="B60" s="97" t="s">
        <v>99</v>
      </c>
      <c r="C60" s="95" t="s">
        <v>160</v>
      </c>
      <c r="D60" s="93"/>
      <c r="E60" s="95" t="s">
        <v>161</v>
      </c>
      <c r="F60" s="93"/>
      <c r="G60" s="26">
        <v>3</v>
      </c>
      <c r="H60" s="26">
        <v>3</v>
      </c>
      <c r="I60" s="26">
        <v>3</v>
      </c>
      <c r="J60" s="26">
        <v>3</v>
      </c>
      <c r="K60" s="26">
        <v>3</v>
      </c>
      <c r="L60" s="26">
        <v>3</v>
      </c>
      <c r="M60" s="26">
        <v>3</v>
      </c>
      <c r="N60" s="26">
        <v>3</v>
      </c>
      <c r="O60" s="26">
        <v>3</v>
      </c>
      <c r="P60" s="26">
        <v>3</v>
      </c>
      <c r="Q60" s="26">
        <v>3</v>
      </c>
      <c r="R60" s="26">
        <v>3</v>
      </c>
      <c r="S60" s="70">
        <v>0</v>
      </c>
      <c r="T60" s="18">
        <v>0</v>
      </c>
      <c r="U60" s="18">
        <v>0</v>
      </c>
      <c r="V60" s="19">
        <v>0</v>
      </c>
      <c r="W60" s="19">
        <v>0</v>
      </c>
      <c r="X60" s="29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6.5" customHeight="1" x14ac:dyDescent="0.3">
      <c r="A61" s="104"/>
      <c r="B61" s="98"/>
      <c r="C61" s="95" t="s">
        <v>162</v>
      </c>
      <c r="D61" s="93"/>
      <c r="E61" s="95" t="s">
        <v>161</v>
      </c>
      <c r="F61" s="93"/>
      <c r="G61" s="26">
        <v>3</v>
      </c>
      <c r="H61" s="26">
        <v>3</v>
      </c>
      <c r="I61" s="26">
        <v>3</v>
      </c>
      <c r="J61" s="26">
        <v>3</v>
      </c>
      <c r="K61" s="26">
        <v>3</v>
      </c>
      <c r="L61" s="26">
        <v>3</v>
      </c>
      <c r="M61" s="26">
        <v>3</v>
      </c>
      <c r="N61" s="26">
        <v>3</v>
      </c>
      <c r="O61" s="26">
        <v>3</v>
      </c>
      <c r="P61" s="26">
        <v>3</v>
      </c>
      <c r="Q61" s="26">
        <v>3</v>
      </c>
      <c r="R61" s="26">
        <v>3</v>
      </c>
      <c r="S61" s="26">
        <v>3</v>
      </c>
      <c r="T61" s="70">
        <v>0</v>
      </c>
      <c r="U61" s="18">
        <v>0</v>
      </c>
      <c r="V61" s="19">
        <v>0</v>
      </c>
      <c r="W61" s="19">
        <v>0</v>
      </c>
      <c r="X61" s="29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6.5" customHeight="1" x14ac:dyDescent="0.3">
      <c r="A62" s="104"/>
      <c r="B62" s="98"/>
      <c r="C62" s="95" t="s">
        <v>163</v>
      </c>
      <c r="D62" s="93"/>
      <c r="E62" s="95" t="s">
        <v>161</v>
      </c>
      <c r="F62" s="93"/>
      <c r="G62" s="26">
        <v>3</v>
      </c>
      <c r="H62" s="26">
        <v>3</v>
      </c>
      <c r="I62" s="26">
        <v>3</v>
      </c>
      <c r="J62" s="26">
        <v>3</v>
      </c>
      <c r="K62" s="26">
        <v>3</v>
      </c>
      <c r="L62" s="26">
        <v>3</v>
      </c>
      <c r="M62" s="26">
        <v>3</v>
      </c>
      <c r="N62" s="26">
        <v>3</v>
      </c>
      <c r="O62" s="26">
        <v>3</v>
      </c>
      <c r="P62" s="26">
        <v>3</v>
      </c>
      <c r="Q62" s="26">
        <v>3</v>
      </c>
      <c r="R62" s="26">
        <v>3</v>
      </c>
      <c r="S62" s="26">
        <v>3</v>
      </c>
      <c r="T62" s="70">
        <v>0</v>
      </c>
      <c r="U62" s="18">
        <v>0</v>
      </c>
      <c r="V62" s="19">
        <v>0</v>
      </c>
      <c r="W62" s="19">
        <v>0</v>
      </c>
      <c r="X62" s="29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6.5" customHeight="1" x14ac:dyDescent="0.3">
      <c r="A63" s="104"/>
      <c r="B63" s="98"/>
      <c r="C63" s="95" t="s">
        <v>164</v>
      </c>
      <c r="D63" s="93"/>
      <c r="E63" s="95" t="s">
        <v>161</v>
      </c>
      <c r="F63" s="93"/>
      <c r="G63" s="26">
        <v>3</v>
      </c>
      <c r="H63" s="26">
        <v>3</v>
      </c>
      <c r="I63" s="26">
        <v>3</v>
      </c>
      <c r="J63" s="26">
        <v>3</v>
      </c>
      <c r="K63" s="26">
        <v>3</v>
      </c>
      <c r="L63" s="26">
        <v>3</v>
      </c>
      <c r="M63" s="26">
        <v>3</v>
      </c>
      <c r="N63" s="26">
        <v>3</v>
      </c>
      <c r="O63" s="26">
        <v>3</v>
      </c>
      <c r="P63" s="26">
        <v>3</v>
      </c>
      <c r="Q63" s="26">
        <v>3</v>
      </c>
      <c r="R63" s="26">
        <v>3</v>
      </c>
      <c r="S63" s="26">
        <v>3</v>
      </c>
      <c r="T63" s="70">
        <v>0</v>
      </c>
      <c r="U63" s="18">
        <v>0</v>
      </c>
      <c r="V63" s="19">
        <v>0</v>
      </c>
      <c r="W63" s="19">
        <v>0</v>
      </c>
      <c r="X63" s="29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6.5" customHeight="1" x14ac:dyDescent="0.3">
      <c r="A64" s="104"/>
      <c r="B64" s="99"/>
      <c r="C64" s="95" t="s">
        <v>165</v>
      </c>
      <c r="D64" s="93"/>
      <c r="E64" s="95" t="s">
        <v>161</v>
      </c>
      <c r="F64" s="93"/>
      <c r="G64" s="26">
        <v>3</v>
      </c>
      <c r="H64" s="26">
        <v>3</v>
      </c>
      <c r="I64" s="26">
        <v>3</v>
      </c>
      <c r="J64" s="26">
        <v>3</v>
      </c>
      <c r="K64" s="26">
        <v>3</v>
      </c>
      <c r="L64" s="26">
        <v>3</v>
      </c>
      <c r="M64" s="26">
        <v>3</v>
      </c>
      <c r="N64" s="26">
        <v>3</v>
      </c>
      <c r="O64" s="26">
        <v>3</v>
      </c>
      <c r="P64" s="26">
        <v>3</v>
      </c>
      <c r="Q64" s="26">
        <v>3</v>
      </c>
      <c r="R64" s="26">
        <v>3</v>
      </c>
      <c r="S64" s="26">
        <v>3</v>
      </c>
      <c r="T64" s="26">
        <v>3</v>
      </c>
      <c r="U64" s="70">
        <v>0</v>
      </c>
      <c r="V64" s="19">
        <v>0</v>
      </c>
      <c r="W64" s="19">
        <v>0</v>
      </c>
      <c r="X64" s="29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6.5" customHeight="1" x14ac:dyDescent="0.3">
      <c r="A65" s="104"/>
      <c r="B65" s="97" t="s">
        <v>113</v>
      </c>
      <c r="C65" s="95" t="s">
        <v>166</v>
      </c>
      <c r="D65" s="93"/>
      <c r="E65" s="95" t="s">
        <v>44</v>
      </c>
      <c r="F65" s="93"/>
      <c r="G65" s="26">
        <v>2</v>
      </c>
      <c r="H65" s="26">
        <v>2</v>
      </c>
      <c r="I65" s="26">
        <v>2</v>
      </c>
      <c r="J65" s="26">
        <v>2</v>
      </c>
      <c r="K65" s="26">
        <v>2</v>
      </c>
      <c r="L65" s="26">
        <v>2</v>
      </c>
      <c r="M65" s="26">
        <v>2</v>
      </c>
      <c r="N65" s="26">
        <v>2</v>
      </c>
      <c r="O65" s="26">
        <v>2</v>
      </c>
      <c r="P65" s="26">
        <v>2</v>
      </c>
      <c r="Q65" s="26">
        <v>2</v>
      </c>
      <c r="R65" s="26">
        <v>2</v>
      </c>
      <c r="S65" s="26">
        <v>2</v>
      </c>
      <c r="T65" s="26">
        <v>2</v>
      </c>
      <c r="U65" s="70">
        <v>0</v>
      </c>
      <c r="V65" s="19">
        <v>0</v>
      </c>
      <c r="W65" s="19">
        <v>0</v>
      </c>
      <c r="X65" s="29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6.5" customHeight="1" x14ac:dyDescent="0.3">
      <c r="A66" s="104"/>
      <c r="B66" s="98"/>
      <c r="C66" s="95" t="s">
        <v>167</v>
      </c>
      <c r="D66" s="93"/>
      <c r="E66" s="95" t="s">
        <v>27</v>
      </c>
      <c r="F66" s="93"/>
      <c r="G66" s="26">
        <v>1</v>
      </c>
      <c r="H66" s="26">
        <v>1</v>
      </c>
      <c r="I66" s="26">
        <v>1</v>
      </c>
      <c r="J66" s="26">
        <v>1</v>
      </c>
      <c r="K66" s="26">
        <v>1</v>
      </c>
      <c r="L66" s="26">
        <v>1</v>
      </c>
      <c r="M66" s="26">
        <v>1</v>
      </c>
      <c r="N66" s="26">
        <v>1</v>
      </c>
      <c r="O66" s="26">
        <v>1</v>
      </c>
      <c r="P66" s="26">
        <v>1</v>
      </c>
      <c r="Q66" s="26">
        <v>1</v>
      </c>
      <c r="R66" s="26">
        <v>1</v>
      </c>
      <c r="S66" s="26">
        <v>1</v>
      </c>
      <c r="T66" s="26">
        <v>1</v>
      </c>
      <c r="U66" s="70">
        <v>0</v>
      </c>
      <c r="V66" s="19">
        <v>0</v>
      </c>
      <c r="W66" s="19">
        <v>0</v>
      </c>
      <c r="X66" s="29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6.5" customHeight="1" x14ac:dyDescent="0.3">
      <c r="A67" s="104"/>
      <c r="B67" s="98"/>
      <c r="C67" s="95" t="s">
        <v>168</v>
      </c>
      <c r="D67" s="93"/>
      <c r="E67" s="95" t="s">
        <v>44</v>
      </c>
      <c r="F67" s="93"/>
      <c r="G67" s="26">
        <v>2</v>
      </c>
      <c r="H67" s="26">
        <v>2</v>
      </c>
      <c r="I67" s="26">
        <v>2</v>
      </c>
      <c r="J67" s="26">
        <v>2</v>
      </c>
      <c r="K67" s="26">
        <v>2</v>
      </c>
      <c r="L67" s="26">
        <v>2</v>
      </c>
      <c r="M67" s="26">
        <v>2</v>
      </c>
      <c r="N67" s="26">
        <v>2</v>
      </c>
      <c r="O67" s="26">
        <v>2</v>
      </c>
      <c r="P67" s="26">
        <v>2</v>
      </c>
      <c r="Q67" s="26">
        <v>2</v>
      </c>
      <c r="R67" s="26">
        <v>2</v>
      </c>
      <c r="S67" s="26">
        <v>2</v>
      </c>
      <c r="T67" s="26">
        <v>2</v>
      </c>
      <c r="U67" s="26">
        <v>2</v>
      </c>
      <c r="V67" s="69">
        <v>0</v>
      </c>
      <c r="W67" s="19">
        <v>0</v>
      </c>
      <c r="X67" s="29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6.5" customHeight="1" x14ac:dyDescent="0.3">
      <c r="A68" s="104"/>
      <c r="B68" s="98"/>
      <c r="C68" s="95" t="s">
        <v>169</v>
      </c>
      <c r="D68" s="93"/>
      <c r="E68" s="95" t="s">
        <v>104</v>
      </c>
      <c r="F68" s="93"/>
      <c r="G68" s="26">
        <v>1</v>
      </c>
      <c r="H68" s="26">
        <v>1</v>
      </c>
      <c r="I68" s="26">
        <v>1</v>
      </c>
      <c r="J68" s="26">
        <v>1</v>
      </c>
      <c r="K68" s="26">
        <v>1</v>
      </c>
      <c r="L68" s="26">
        <v>1</v>
      </c>
      <c r="M68" s="26">
        <v>1</v>
      </c>
      <c r="N68" s="26">
        <v>1</v>
      </c>
      <c r="O68" s="26">
        <v>1</v>
      </c>
      <c r="P68" s="26">
        <v>1</v>
      </c>
      <c r="Q68" s="26">
        <v>1</v>
      </c>
      <c r="R68" s="26">
        <v>1</v>
      </c>
      <c r="S68" s="26">
        <v>1</v>
      </c>
      <c r="T68" s="26">
        <v>1</v>
      </c>
      <c r="U68" s="26">
        <v>1</v>
      </c>
      <c r="V68" s="69">
        <v>0</v>
      </c>
      <c r="W68" s="19">
        <v>0</v>
      </c>
      <c r="X68" s="29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6.5" customHeight="1" x14ac:dyDescent="0.3">
      <c r="A69" s="104"/>
      <c r="B69" s="99"/>
      <c r="C69" s="95" t="s">
        <v>170</v>
      </c>
      <c r="D69" s="93"/>
      <c r="E69" s="95" t="s">
        <v>46</v>
      </c>
      <c r="F69" s="93"/>
      <c r="G69" s="26">
        <v>2</v>
      </c>
      <c r="H69" s="26">
        <v>2</v>
      </c>
      <c r="I69" s="26">
        <v>2</v>
      </c>
      <c r="J69" s="26">
        <v>2</v>
      </c>
      <c r="K69" s="26">
        <v>2</v>
      </c>
      <c r="L69" s="26">
        <v>2</v>
      </c>
      <c r="M69" s="26">
        <v>2</v>
      </c>
      <c r="N69" s="26">
        <v>2</v>
      </c>
      <c r="O69" s="26">
        <v>2</v>
      </c>
      <c r="P69" s="26">
        <v>2</v>
      </c>
      <c r="Q69" s="26">
        <v>2</v>
      </c>
      <c r="R69" s="26">
        <v>2</v>
      </c>
      <c r="S69" s="26">
        <v>2</v>
      </c>
      <c r="T69" s="26">
        <v>2</v>
      </c>
      <c r="U69" s="26">
        <v>2</v>
      </c>
      <c r="V69" s="69">
        <v>0</v>
      </c>
      <c r="W69" s="19">
        <v>0</v>
      </c>
      <c r="X69" s="29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6.5" customHeight="1" x14ac:dyDescent="0.3">
      <c r="A70" s="104"/>
      <c r="B70" s="97" t="s">
        <v>171</v>
      </c>
      <c r="C70" s="95" t="s">
        <v>172</v>
      </c>
      <c r="D70" s="93"/>
      <c r="E70" s="95" t="s">
        <v>25</v>
      </c>
      <c r="F70" s="93"/>
      <c r="G70" s="26">
        <v>4</v>
      </c>
      <c r="H70" s="26">
        <v>4</v>
      </c>
      <c r="I70" s="26">
        <v>4</v>
      </c>
      <c r="J70" s="26">
        <v>4</v>
      </c>
      <c r="K70" s="26">
        <v>4</v>
      </c>
      <c r="L70" s="26">
        <v>4</v>
      </c>
      <c r="M70" s="26">
        <v>4</v>
      </c>
      <c r="N70" s="26">
        <v>4</v>
      </c>
      <c r="O70" s="26">
        <v>4</v>
      </c>
      <c r="P70" s="26">
        <v>4</v>
      </c>
      <c r="Q70" s="26">
        <v>4</v>
      </c>
      <c r="R70" s="26">
        <v>4</v>
      </c>
      <c r="S70" s="26">
        <v>4</v>
      </c>
      <c r="T70" s="26">
        <v>4</v>
      </c>
      <c r="U70" s="26">
        <v>4</v>
      </c>
      <c r="V70" s="26">
        <v>4</v>
      </c>
      <c r="W70" s="69">
        <v>0</v>
      </c>
      <c r="X70" s="29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6.5" customHeight="1" x14ac:dyDescent="0.3">
      <c r="A71" s="104"/>
      <c r="B71" s="99"/>
      <c r="C71" s="95" t="s">
        <v>173</v>
      </c>
      <c r="D71" s="93"/>
      <c r="E71" s="95" t="s">
        <v>25</v>
      </c>
      <c r="F71" s="93"/>
      <c r="G71" s="26">
        <v>2</v>
      </c>
      <c r="H71" s="26">
        <v>2</v>
      </c>
      <c r="I71" s="26">
        <v>2</v>
      </c>
      <c r="J71" s="26">
        <v>2</v>
      </c>
      <c r="K71" s="26">
        <v>2</v>
      </c>
      <c r="L71" s="26">
        <v>2</v>
      </c>
      <c r="M71" s="26">
        <v>2</v>
      </c>
      <c r="N71" s="26">
        <v>2</v>
      </c>
      <c r="O71" s="26">
        <v>2</v>
      </c>
      <c r="P71" s="26">
        <v>2</v>
      </c>
      <c r="Q71" s="26">
        <v>2</v>
      </c>
      <c r="R71" s="26">
        <v>2</v>
      </c>
      <c r="S71" s="26">
        <v>2</v>
      </c>
      <c r="T71" s="26">
        <v>2</v>
      </c>
      <c r="U71" s="26">
        <v>2</v>
      </c>
      <c r="V71" s="26">
        <v>2</v>
      </c>
      <c r="W71" s="69">
        <v>0</v>
      </c>
      <c r="X71" s="29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6.5" customHeight="1" x14ac:dyDescent="0.3">
      <c r="A72" s="104"/>
      <c r="B72" s="107" t="s">
        <v>19</v>
      </c>
      <c r="C72" s="108"/>
      <c r="D72" s="109"/>
      <c r="E72" s="118" t="s">
        <v>129</v>
      </c>
      <c r="F72" s="93"/>
      <c r="G72" s="121">
        <f>SUM(G16:G71)</f>
        <v>125</v>
      </c>
      <c r="H72" s="112"/>
      <c r="I72" s="19">
        <f>SUM(I16:I71)</f>
        <v>130</v>
      </c>
      <c r="J72" s="19">
        <f>SUM(J16:J71)</f>
        <v>123</v>
      </c>
      <c r="K72" s="19">
        <f>SUM(K16:K71)-K20-K22-K24</f>
        <v>108</v>
      </c>
      <c r="L72" s="19">
        <f>SUM(L16:L71)+L28+L32-L34</f>
        <v>97</v>
      </c>
      <c r="M72" s="19">
        <f>SUM(M16:M71)-M36</f>
        <v>84</v>
      </c>
      <c r="N72" s="19">
        <f>SUM(N16:N71)+N41</f>
        <v>77</v>
      </c>
      <c r="O72" s="19">
        <f>SUM(O16:O71)-O44</f>
        <v>63</v>
      </c>
      <c r="P72" s="19">
        <f>SUM(P16:P71)-P48</f>
        <v>51</v>
      </c>
      <c r="Q72" s="19">
        <f>SUM(Q16:Q71)</f>
        <v>39</v>
      </c>
      <c r="R72" s="19">
        <f>SUM(R16:R71)+R55</f>
        <v>37</v>
      </c>
      <c r="S72" s="19">
        <f>SUM(S16:S71)</f>
        <v>26</v>
      </c>
      <c r="T72" s="19">
        <f>SUM(T16:T71)</f>
        <v>17</v>
      </c>
      <c r="U72" s="19">
        <f>SUM(U16:U71)</f>
        <v>11</v>
      </c>
      <c r="V72" s="19">
        <f>SUM(V16:V71)</f>
        <v>6</v>
      </c>
      <c r="W72" s="19">
        <f>SUM(W16:W71)</f>
        <v>0</v>
      </c>
      <c r="X72" s="29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6.5" customHeight="1" x14ac:dyDescent="0.3">
      <c r="A73" s="104"/>
      <c r="B73" s="110"/>
      <c r="C73" s="111"/>
      <c r="D73" s="112"/>
      <c r="E73" s="118" t="s">
        <v>130</v>
      </c>
      <c r="F73" s="93"/>
      <c r="G73" s="96">
        <f>SUM(H16:H71)</f>
        <v>130</v>
      </c>
      <c r="H73" s="93"/>
      <c r="I73" s="19">
        <f t="shared" ref="I73:W73" si="0">SUM(I16:I71)</f>
        <v>130</v>
      </c>
      <c r="J73" s="19">
        <f t="shared" si="0"/>
        <v>123</v>
      </c>
      <c r="K73" s="19">
        <f t="shared" si="0"/>
        <v>112</v>
      </c>
      <c r="L73" s="19">
        <f t="shared" si="0"/>
        <v>96</v>
      </c>
      <c r="M73" s="19">
        <f t="shared" si="0"/>
        <v>85</v>
      </c>
      <c r="N73" s="19">
        <f t="shared" si="0"/>
        <v>76</v>
      </c>
      <c r="O73" s="19">
        <f t="shared" si="0"/>
        <v>65</v>
      </c>
      <c r="P73" s="19">
        <f t="shared" si="0"/>
        <v>53</v>
      </c>
      <c r="Q73" s="19">
        <f t="shared" si="0"/>
        <v>39</v>
      </c>
      <c r="R73" s="19">
        <f t="shared" si="0"/>
        <v>35</v>
      </c>
      <c r="S73" s="19">
        <f t="shared" si="0"/>
        <v>26</v>
      </c>
      <c r="T73" s="19">
        <f t="shared" si="0"/>
        <v>17</v>
      </c>
      <c r="U73" s="19">
        <f t="shared" si="0"/>
        <v>11</v>
      </c>
      <c r="V73" s="19">
        <f t="shared" si="0"/>
        <v>6</v>
      </c>
      <c r="W73" s="19">
        <f t="shared" si="0"/>
        <v>0</v>
      </c>
      <c r="X73" s="29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6.5" customHeight="1" x14ac:dyDescent="0.3">
      <c r="A74" s="30"/>
      <c r="B74" s="30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6.5" customHeight="1" x14ac:dyDescent="0.3">
      <c r="A75" s="30"/>
      <c r="B75" s="30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6.5" customHeight="1" x14ac:dyDescent="0.3">
      <c r="A76" s="30"/>
      <c r="B76" s="30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6.5" customHeight="1" x14ac:dyDescent="0.3">
      <c r="A77" s="30"/>
      <c r="B77" s="30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6.5" customHeight="1" x14ac:dyDescent="0.3">
      <c r="A78" s="30"/>
      <c r="B78" s="3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6.5" customHeight="1" x14ac:dyDescent="0.3">
      <c r="A79" s="30"/>
      <c r="B79" s="30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6.5" customHeight="1" x14ac:dyDescent="0.3">
      <c r="A80" s="30"/>
      <c r="B80" s="30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6.5" customHeight="1" x14ac:dyDescent="0.3">
      <c r="A81" s="30"/>
      <c r="B81" s="30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6.5" customHeight="1" x14ac:dyDescent="0.3">
      <c r="A82" s="30"/>
      <c r="B82" s="30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6.5" customHeight="1" x14ac:dyDescent="0.3">
      <c r="A83" s="30"/>
      <c r="B83" s="30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6.5" customHeight="1" x14ac:dyDescent="0.3">
      <c r="A84" s="30"/>
      <c r="B84" s="30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6.5" customHeight="1" x14ac:dyDescent="0.3">
      <c r="A85" s="30"/>
      <c r="B85" s="30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6.5" customHeight="1" x14ac:dyDescent="0.3">
      <c r="A86" s="30"/>
      <c r="B86" s="30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6.5" customHeight="1" x14ac:dyDescent="0.3">
      <c r="A87" s="30"/>
      <c r="B87" s="30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6.5" customHeight="1" x14ac:dyDescent="0.3">
      <c r="A88" s="30"/>
      <c r="B88" s="30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6.5" customHeight="1" x14ac:dyDescent="0.3">
      <c r="A89" s="30"/>
      <c r="B89" s="30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6.5" customHeight="1" x14ac:dyDescent="0.3">
      <c r="A90" s="30"/>
      <c r="B90" s="30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6.5" customHeight="1" x14ac:dyDescent="0.3">
      <c r="A91" s="30"/>
      <c r="B91" s="30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6.5" customHeight="1" x14ac:dyDescent="0.3">
      <c r="A92" s="30"/>
      <c r="B92" s="30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6.5" customHeight="1" x14ac:dyDescent="0.3">
      <c r="A93" s="30"/>
      <c r="B93" s="30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6.5" customHeight="1" x14ac:dyDescent="0.3">
      <c r="A94" s="30"/>
      <c r="B94" s="30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6.5" customHeight="1" x14ac:dyDescent="0.3">
      <c r="A95" s="30"/>
      <c r="B95" s="30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6.5" customHeight="1" x14ac:dyDescent="0.3">
      <c r="A96" s="30"/>
      <c r="B96" s="30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6.5" customHeight="1" x14ac:dyDescent="0.3">
      <c r="A97" s="30"/>
      <c r="B97" s="30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6.5" customHeight="1" x14ac:dyDescent="0.3">
      <c r="A98" s="30"/>
      <c r="B98" s="30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6.5" customHeight="1" x14ac:dyDescent="0.3">
      <c r="A99" s="30"/>
      <c r="B99" s="30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6.5" customHeight="1" x14ac:dyDescent="0.3">
      <c r="A100" s="30"/>
      <c r="B100" s="30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6.5" customHeight="1" x14ac:dyDescent="0.3">
      <c r="A101" s="30"/>
      <c r="B101" s="30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6.5" customHeight="1" x14ac:dyDescent="0.3">
      <c r="A102" s="30"/>
      <c r="B102" s="30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6.5" customHeight="1" x14ac:dyDescent="0.3">
      <c r="A103" s="30"/>
      <c r="B103" s="30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6.5" customHeight="1" x14ac:dyDescent="0.3">
      <c r="A104" s="30"/>
      <c r="B104" s="30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6.5" customHeight="1" x14ac:dyDescent="0.3">
      <c r="A105" s="30"/>
      <c r="B105" s="30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6.5" customHeight="1" x14ac:dyDescent="0.3">
      <c r="A106" s="30"/>
      <c r="B106" s="30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6.5" customHeight="1" x14ac:dyDescent="0.3">
      <c r="A107" s="30"/>
      <c r="B107" s="30"/>
      <c r="C107" s="31"/>
      <c r="D107" s="3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6.5" customHeight="1" x14ac:dyDescent="0.3">
      <c r="A108" s="30"/>
      <c r="B108" s="30"/>
      <c r="C108" s="31"/>
      <c r="D108" s="3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6.5" customHeight="1" x14ac:dyDescent="0.3">
      <c r="A109" s="30"/>
      <c r="B109" s="3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6.5" customHeight="1" x14ac:dyDescent="0.3">
      <c r="A110" s="30"/>
      <c r="B110" s="3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6.5" customHeight="1" x14ac:dyDescent="0.3">
      <c r="A111" s="30"/>
      <c r="B111" s="3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6.5" customHeight="1" x14ac:dyDescent="0.3">
      <c r="A112" s="30"/>
      <c r="B112" s="3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6.5" customHeight="1" x14ac:dyDescent="0.3">
      <c r="A113" s="30"/>
      <c r="B113" s="3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6.5" customHeight="1" x14ac:dyDescent="0.3">
      <c r="A114" s="30"/>
      <c r="B114" s="3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6.5" customHeight="1" x14ac:dyDescent="0.3">
      <c r="A115" s="30"/>
      <c r="B115" s="3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6.5" customHeight="1" x14ac:dyDescent="0.3">
      <c r="A116" s="30"/>
      <c r="B116" s="3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6.5" customHeight="1" x14ac:dyDescent="0.3">
      <c r="A117" s="30"/>
      <c r="B117" s="3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6.5" customHeight="1" x14ac:dyDescent="0.3">
      <c r="A118" s="30"/>
      <c r="B118" s="3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6.5" customHeight="1" x14ac:dyDescent="0.3">
      <c r="A119" s="30"/>
      <c r="B119" s="3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6.5" customHeight="1" x14ac:dyDescent="0.3">
      <c r="A120" s="30"/>
      <c r="B120" s="3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6.5" customHeight="1" x14ac:dyDescent="0.3">
      <c r="A121" s="30"/>
      <c r="B121" s="3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6.5" customHeight="1" x14ac:dyDescent="0.3">
      <c r="A122" s="30"/>
      <c r="B122" s="3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6.5" customHeight="1" x14ac:dyDescent="0.3">
      <c r="A123" s="30"/>
      <c r="B123" s="3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6.5" customHeight="1" x14ac:dyDescent="0.3">
      <c r="A124" s="30"/>
      <c r="B124" s="3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6.5" customHeight="1" x14ac:dyDescent="0.3">
      <c r="A125" s="30"/>
      <c r="B125" s="3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6.5" customHeight="1" x14ac:dyDescent="0.3">
      <c r="A126" s="30"/>
      <c r="B126" s="3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6.5" customHeight="1" x14ac:dyDescent="0.3">
      <c r="A127" s="30"/>
      <c r="B127" s="3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6.5" customHeight="1" x14ac:dyDescent="0.3">
      <c r="A128" s="30"/>
      <c r="B128" s="3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6.5" customHeight="1" x14ac:dyDescent="0.3">
      <c r="A129" s="30"/>
      <c r="B129" s="3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6.5" customHeight="1" x14ac:dyDescent="0.3">
      <c r="A130" s="30"/>
      <c r="B130" s="3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6.5" customHeight="1" x14ac:dyDescent="0.3">
      <c r="A131" s="30"/>
      <c r="B131" s="3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6.5" customHeight="1" x14ac:dyDescent="0.3">
      <c r="A132" s="30"/>
      <c r="B132" s="3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6.5" customHeight="1" x14ac:dyDescent="0.3">
      <c r="A133" s="3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6.5" customHeight="1" x14ac:dyDescent="0.3">
      <c r="A134" s="3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6.5" customHeight="1" x14ac:dyDescent="0.3">
      <c r="A135" s="30"/>
      <c r="B135" s="32"/>
      <c r="C135" s="32"/>
      <c r="D135" s="32"/>
      <c r="E135" s="3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6.5" customHeight="1" x14ac:dyDescent="0.3">
      <c r="A136" s="30"/>
      <c r="B136" s="32"/>
      <c r="C136" s="32"/>
      <c r="D136" s="32"/>
      <c r="E136" s="33"/>
      <c r="F136" s="3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6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6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6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6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6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6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6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6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6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6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6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6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6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6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6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6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6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6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6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6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6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6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6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6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6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6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6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6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6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6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6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6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6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6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6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6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6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6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6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6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6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6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6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6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6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6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6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6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6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6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6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6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6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6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6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6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6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6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6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6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6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6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6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6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6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6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6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6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6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6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6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6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6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6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6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6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6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6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6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6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6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6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6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6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6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6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6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6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6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6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6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6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6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6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6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6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6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6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6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6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6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6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6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6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6.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6.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6.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ht="16.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6.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6.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6.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6.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6.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6.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6.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6.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6.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6.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ht="16.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6.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6.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6.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6.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6.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6.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6.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6.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6.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6.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6.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6.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6.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ht="16.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6.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6.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ht="16.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ht="16.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6.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6.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6.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6.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6.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6.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6.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6.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6.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6.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6.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6.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6.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6.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6.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6.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6.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6.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6.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6.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6.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6.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6.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6.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6.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6.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6.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6.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6.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6.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ht="16.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6.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6.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6.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6.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6.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6.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6.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6.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6.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6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6.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6.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6.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ht="16.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ht="16.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ht="16.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ht="16.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ht="16.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ht="16.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ht="16.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ht="16.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ht="16.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ht="16.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ht="16.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ht="16.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ht="16.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ht="16.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ht="16.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ht="16.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ht="16.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ht="16.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ht="16.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ht="16.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ht="16.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ht="16.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ht="16.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ht="16.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ht="16.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ht="16.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ht="16.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ht="16.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ht="16.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ht="16.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ht="16.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ht="16.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ht="16.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ht="16.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ht="16.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ht="16.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ht="16.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ht="16.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ht="16.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ht="16.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ht="16.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 ht="16.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ht="16.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ht="16.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ht="16.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ht="16.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ht="16.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ht="16.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ht="16.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ht="16.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ht="16.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ht="16.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ht="16.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ht="16.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ht="16.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ht="16.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ht="16.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ht="16.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ht="16.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ht="16.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ht="16.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ht="16.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ht="16.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ht="16.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ht="16.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ht="16.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ht="16.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ht="16.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ht="16.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ht="16.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ht="16.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ht="16.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ht="16.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ht="16.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ht="16.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ht="16.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ht="16.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ht="16.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ht="16.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ht="16.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ht="16.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ht="16.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ht="16.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ht="16.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ht="16.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ht="16.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ht="16.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ht="16.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ht="16.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ht="16.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ht="16.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ht="16.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ht="16.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ht="16.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ht="16.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ht="16.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ht="16.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ht="16.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ht="16.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ht="16.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ht="16.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ht="16.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ht="16.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ht="16.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ht="16.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 ht="16.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ht="16.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ht="16.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ht="16.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ht="16.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ht="16.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ht="16.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ht="16.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ht="16.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ht="16.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ht="16.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ht="16.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ht="16.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ht="16.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ht="16.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 ht="16.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ht="16.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 ht="16.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 ht="16.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 ht="16.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 ht="16.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 ht="16.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 ht="16.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 ht="16.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 ht="16.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 ht="16.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 ht="16.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spans="1:41" ht="16.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 ht="16.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 ht="16.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 ht="16.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 ht="16.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 ht="16.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 ht="16.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ht="16.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spans="1:41" ht="16.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ht="16.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ht="16.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ht="16.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ht="16.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ht="16.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ht="16.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ht="16.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ht="16.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 ht="16.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ht="16.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ht="16.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 ht="16.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 ht="16.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ht="16.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ht="16.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ht="16.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ht="16.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ht="16.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ht="16.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ht="16.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ht="16.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ht="16.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ht="16.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 ht="16.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ht="16.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ht="16.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ht="16.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ht="16.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ht="16.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ht="16.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ht="16.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ht="16.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ht="16.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ht="16.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ht="16.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 ht="16.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ht="16.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ht="16.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ht="16.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ht="16.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 ht="16.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ht="16.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ht="16.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ht="16.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ht="16.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ht="16.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ht="16.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ht="16.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 ht="16.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 ht="16.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 ht="16.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 ht="16.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 ht="16.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spans="1:41" ht="16.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 ht="16.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 ht="16.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 ht="16.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 ht="16.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 ht="16.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 ht="16.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 ht="16.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 ht="16.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 ht="16.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 ht="16.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 ht="16.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spans="1:41" ht="16.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spans="1:41" ht="16.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spans="1:41" ht="16.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spans="1:41" ht="16.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spans="1:41" ht="16.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spans="1:41" ht="16.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spans="1:41" ht="16.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spans="1:41" ht="16.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spans="1:41" ht="16.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spans="1:41" ht="16.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spans="1:41" ht="16.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spans="1:41" ht="16.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spans="1:41" ht="16.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spans="1:41" ht="16.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spans="1:41" ht="16.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spans="1:41" ht="16.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spans="1:41" ht="16.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spans="1:41" ht="16.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spans="1:41" ht="16.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spans="1:41" ht="16.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spans="1:41" ht="16.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spans="1:41" ht="16.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spans="1:41" ht="16.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spans="1:41" ht="16.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spans="1:41" ht="16.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spans="1:41" ht="16.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spans="1:41" ht="16.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spans="1:41" ht="16.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spans="1:41" ht="16.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spans="1:41" ht="16.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spans="1:41" ht="16.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spans="1:41" ht="16.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spans="1:41" ht="16.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spans="1:41" ht="16.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spans="1:41" ht="16.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spans="1:41" ht="16.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spans="1:41" ht="16.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spans="1:41" ht="16.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spans="1:41" ht="16.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spans="1:41" ht="16.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spans="1:41" ht="16.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spans="1:41" ht="16.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spans="1:41" ht="16.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spans="1:41" ht="16.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spans="1:41" ht="16.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spans="1:41" ht="16.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spans="1:41" ht="16.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spans="1:41" ht="16.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spans="1:41" ht="16.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spans="1:41" ht="16.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spans="1:41" ht="16.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spans="1:41" ht="16.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spans="1:41" ht="16.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spans="1:41" ht="16.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spans="1:41" ht="16.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spans="1:41" ht="16.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spans="1:41" ht="16.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spans="1:41" ht="16.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spans="1:41" ht="16.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spans="1:41" ht="16.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spans="1:41" ht="16.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spans="1:41" ht="16.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spans="1:41" ht="16.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spans="1:41" ht="16.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spans="1:41" ht="16.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spans="1:41" ht="16.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spans="1:41" ht="16.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spans="1:41" ht="16.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spans="1:41" ht="16.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spans="1:41" ht="16.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spans="1:41" ht="16.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spans="1:41" ht="16.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spans="1:41" ht="16.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spans="1:41" ht="16.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spans="1:41" ht="16.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spans="1:41" ht="16.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spans="1:41" ht="16.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spans="1:41" ht="16.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spans="1:41" ht="16.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spans="1:41" ht="16.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spans="1:41" ht="16.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spans="1:41" ht="16.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spans="1:41" ht="16.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spans="1:41" ht="16.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spans="1:41" ht="16.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spans="1:41" ht="16.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spans="1:41" ht="16.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spans="1:41" ht="16.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spans="1:41" ht="16.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spans="1:41" ht="16.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spans="1:41" ht="16.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spans="1:41" ht="16.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spans="1:41" ht="16.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spans="1:41" ht="16.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spans="1:41" ht="16.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spans="1:41" ht="16.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spans="1:41" ht="16.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spans="1:41" ht="16.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spans="1:41" ht="16.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spans="1:41" ht="16.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spans="1:41" ht="16.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spans="1:41" ht="16.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spans="1:41" ht="16.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spans="1:41" ht="16.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spans="1:41" ht="16.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 ht="16.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 ht="16.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 ht="16.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 ht="16.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 ht="16.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 ht="16.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 ht="16.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 ht="16.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 ht="16.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 ht="16.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 ht="16.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 ht="16.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spans="1:41" ht="16.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 ht="16.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 ht="16.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 ht="16.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 ht="16.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 ht="16.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 ht="16.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 ht="16.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 ht="16.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 ht="16.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 ht="16.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 ht="16.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 ht="16.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 ht="16.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spans="1:41" ht="16.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 ht="16.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 ht="16.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 ht="16.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 ht="16.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 ht="16.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 ht="16.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 ht="16.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 ht="16.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 ht="16.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 ht="16.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 ht="16.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 ht="16.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 ht="16.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 ht="16.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 ht="16.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 ht="16.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spans="1:41" ht="16.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spans="1:41" ht="16.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spans="1:41" ht="16.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spans="1:41" ht="16.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spans="1:41" ht="16.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spans="1:41" ht="16.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spans="1:41" ht="16.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spans="1:41" ht="16.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spans="1:41" ht="16.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spans="1:41" ht="16.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spans="1:41" ht="16.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spans="1:41" ht="16.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spans="1:41" ht="16.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spans="1:41" ht="16.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spans="1:41" ht="16.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spans="1:41" ht="16.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spans="1:41" ht="16.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spans="1:41" ht="16.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spans="1:41" ht="16.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spans="1:41" ht="16.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spans="1:41" ht="16.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spans="1:41" ht="16.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spans="1:41" ht="16.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spans="1:41" ht="16.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spans="1:41" ht="16.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spans="1:41" ht="16.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spans="1:41" ht="16.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spans="1:41" ht="16.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spans="1:41" ht="16.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spans="1:41" ht="16.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spans="1:41" ht="16.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spans="1:41" ht="16.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spans="1:41" ht="16.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spans="1:41" ht="16.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spans="1:41" ht="16.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spans="1:41" ht="16.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spans="1:41" ht="16.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spans="1:41" ht="16.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spans="1:41" ht="16.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spans="1:41" ht="16.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spans="1:41" ht="16.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spans="1:41" ht="16.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spans="1:41" ht="16.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spans="1:41" ht="16.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spans="1:41" ht="16.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spans="1:41" ht="16.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spans="1:41" ht="16.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spans="1:41" ht="16.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spans="1:41" ht="16.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spans="1:41" ht="16.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spans="1:41" ht="16.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spans="1:41" ht="16.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spans="1:41" ht="16.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spans="1:41" ht="16.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spans="1:41" ht="16.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spans="1:41" ht="16.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spans="1:41" ht="16.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spans="1:41" ht="16.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spans="1:41" ht="16.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spans="1:41" ht="16.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spans="1:41" ht="16.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spans="1:41" ht="16.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spans="1:41" ht="16.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spans="1:41" ht="16.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spans="1:41" ht="16.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spans="1:41" ht="16.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spans="1:41" ht="16.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spans="1:41" ht="16.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spans="1:41" ht="16.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spans="1:41" ht="16.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spans="1:41" ht="16.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spans="1:41" ht="16.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spans="1:41" ht="16.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spans="1:41" ht="16.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spans="1:41" ht="16.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spans="1:41" ht="16.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spans="1:41" ht="16.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spans="1:41" ht="16.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spans="1:41" ht="16.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spans="1:41" ht="16.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spans="1:41" ht="16.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spans="1:41" ht="16.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spans="1:41" ht="16.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spans="1:41" ht="16.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spans="1:41" ht="16.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spans="1:41" ht="16.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spans="1:41" ht="16.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spans="1:41" ht="16.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spans="1:41" ht="16.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spans="1:41" ht="16.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spans="1:41" ht="16.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spans="1:41" ht="16.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spans="1:41" ht="16.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spans="1:41" ht="16.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spans="1:41" ht="16.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spans="1:41" ht="16.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spans="1:41" ht="16.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spans="1:41" ht="16.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spans="1:41" ht="16.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spans="1:41" ht="16.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spans="1:41" ht="16.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spans="1:41" ht="16.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spans="1:41" ht="16.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spans="1:41" ht="16.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spans="1:41" ht="16.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spans="1:41" ht="16.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spans="1:41" ht="16.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spans="1:41" ht="16.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spans="1:41" ht="16.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spans="1:41" ht="16.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spans="1:41" ht="16.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spans="1:41" ht="16.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spans="1:41" ht="16.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spans="1:41" ht="16.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spans="1:41" ht="16.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spans="1:41" ht="16.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spans="1:41" ht="16.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spans="1:41" ht="16.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spans="1:41" ht="16.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spans="1:41" ht="16.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spans="1:41" ht="16.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spans="1:41" ht="16.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spans="1:41" ht="16.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spans="1:41" ht="16.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spans="1:41" ht="16.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spans="1:41" ht="16.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spans="1:41" ht="16.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spans="1:41" ht="16.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spans="1:41" ht="16.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spans="1:41" ht="16.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spans="1:41" ht="16.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spans="1:41" ht="16.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spans="1:41" ht="16.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spans="1:41" ht="16.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spans="1:41" ht="16.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spans="1:41" ht="16.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spans="1:41" ht="16.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spans="1:41" ht="16.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spans="1:41" ht="16.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spans="1:41" ht="16.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spans="1:41" ht="16.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spans="1:41" ht="16.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spans="1:41" ht="16.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spans="1:41" ht="16.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spans="1:41" ht="16.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spans="1:41" ht="16.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spans="1:41" ht="16.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spans="1:41" ht="16.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spans="1:41" ht="16.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spans="1:41" ht="16.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spans="1:41" ht="16.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spans="1:41" ht="16.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spans="1:41" ht="16.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spans="1:41" ht="16.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spans="1:41" ht="16.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spans="1:41" ht="16.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spans="1:41" ht="16.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spans="1:41" ht="16.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spans="1:41" ht="16.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spans="1:41" ht="16.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spans="1:41" ht="16.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spans="1:41" ht="16.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spans="1:41" ht="16.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spans="1:41" ht="16.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spans="1:41" ht="16.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spans="1:41" ht="16.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spans="1:41" ht="16.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spans="1:41" ht="16.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spans="1:41" ht="16.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spans="1:41" ht="16.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spans="1:41" ht="16.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spans="1:41" ht="16.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spans="1:41" ht="16.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spans="1:41" ht="16.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spans="1:41" ht="16.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spans="1:41" ht="16.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spans="1:41" ht="16.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spans="1:41" ht="16.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spans="1:41" ht="16.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spans="1:41" ht="16.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spans="1:41" ht="16.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spans="1:41" ht="16.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spans="1:41" ht="16.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spans="1:41" ht="16.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spans="1:41" ht="16.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spans="1:41" ht="16.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spans="1:41" ht="16.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spans="1:41" ht="16.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spans="1:41" ht="16.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spans="1:41" ht="16.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spans="1:41" ht="16.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spans="1:41" ht="16.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spans="1:41" ht="16.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spans="1:41" ht="16.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spans="1:41" ht="16.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spans="1:41" ht="16.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spans="1:41" ht="16.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spans="1:41" ht="16.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spans="1:41" ht="16.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spans="1:41" ht="16.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spans="1:41" ht="16.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spans="1:41" ht="16.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spans="1:41" ht="16.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spans="1:41" ht="16.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spans="1:41" ht="16.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spans="1:41" ht="16.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spans="1:41" ht="16.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spans="1:41" ht="16.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spans="1:41" ht="16.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spans="1:41" ht="16.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spans="1:41" ht="16.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spans="1:41" ht="16.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spans="1:41" ht="16.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spans="1:41" ht="16.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spans="1:41" ht="16.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spans="1:41" ht="16.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spans="1:41" ht="16.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spans="1:41" ht="16.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spans="1:41" ht="16.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spans="1:41" ht="16.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spans="1:41" ht="16.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spans="1:41" ht="16.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spans="1:41" ht="16.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spans="1:41" ht="16.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spans="1:41" ht="16.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spans="1:41" ht="16.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spans="1:41" ht="16.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spans="1:41" ht="16.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spans="1:41" ht="16.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spans="1:41" ht="16.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spans="1:41" ht="16.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spans="1:41" ht="16.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spans="1:41" ht="16.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spans="1:41" ht="16.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spans="1:41" ht="16.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spans="1:41" ht="16.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spans="1:41" ht="16.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spans="1:41" ht="16.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spans="1:41" ht="16.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spans="1:41" ht="16.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spans="1:41" ht="16.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spans="1:41" ht="16.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spans="1:41" ht="16.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spans="1:41" ht="16.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spans="1:41" ht="16.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spans="1:41" ht="16.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spans="1:41" ht="16.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spans="1:41" ht="16.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spans="1:41" ht="16.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spans="1:41" ht="16.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spans="1:41" ht="16.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spans="1:41" ht="16.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spans="1:41" ht="16.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spans="1:41" ht="16.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spans="1:41" ht="16.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spans="1:41" ht="16.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spans="1:41" ht="16.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spans="1:41" ht="16.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spans="1:41" ht="16.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spans="1:41" ht="16.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spans="1:41" ht="16.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spans="1:41" ht="16.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spans="1:41" ht="16.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spans="1:41" ht="16.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spans="1:41" ht="16.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spans="1:41" ht="16.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spans="1:41" ht="16.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spans="1:41" ht="16.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spans="1:41" ht="16.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spans="1:41" ht="16.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spans="1:41" ht="16.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spans="1:41" ht="16.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spans="1:41" ht="16.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spans="1:41" ht="16.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spans="1:41" ht="16.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spans="1:41" ht="16.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spans="1:41" ht="16.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spans="1:41" ht="16.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spans="1:41" ht="16.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spans="1:41" ht="16.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spans="1:41" ht="16.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spans="1:41" ht="16.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spans="1:41" ht="16.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spans="1:41" ht="16.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spans="1:41" ht="16.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spans="1:41" ht="16.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spans="1:41" ht="16.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spans="1:41" ht="16.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spans="1:41" ht="16.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spans="1:41" ht="16.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spans="1:41" ht="16.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spans="1:41" ht="16.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spans="1:41" ht="16.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spans="1:41" ht="16.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spans="1:41" ht="16.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spans="1:41" ht="16.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spans="1:41" ht="16.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spans="1:41" ht="16.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spans="1:41" ht="16.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spans="1:41" ht="16.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spans="1:41" ht="16.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spans="1:41" ht="16.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spans="1:41" ht="16.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spans="1:41" ht="16.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spans="1:41" ht="16.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spans="1:41" ht="16.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spans="1:41" ht="16.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spans="1:41" ht="16.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</sheetData>
  <mergeCells count="111">
    <mergeCell ref="B65:B69"/>
    <mergeCell ref="B70:B71"/>
    <mergeCell ref="B72:D73"/>
    <mergeCell ref="B19:B26"/>
    <mergeCell ref="B27:B33"/>
    <mergeCell ref="B35:B53"/>
    <mergeCell ref="B54:B59"/>
    <mergeCell ref="B60:B64"/>
    <mergeCell ref="A1:B1"/>
    <mergeCell ref="A2:B2"/>
    <mergeCell ref="A3:B3"/>
    <mergeCell ref="B6:E6"/>
    <mergeCell ref="B13:C13"/>
    <mergeCell ref="C15:D15"/>
    <mergeCell ref="E15:F15"/>
    <mergeCell ref="B16:D16"/>
    <mergeCell ref="E16:F16"/>
    <mergeCell ref="A4:B4"/>
    <mergeCell ref="A16:A73"/>
    <mergeCell ref="B17:D17"/>
    <mergeCell ref="E17:F17"/>
    <mergeCell ref="B18:D18"/>
    <mergeCell ref="E18:F18"/>
    <mergeCell ref="C19:D19"/>
    <mergeCell ref="E19:F19"/>
    <mergeCell ref="C21:D21"/>
    <mergeCell ref="E21:F21"/>
    <mergeCell ref="E23:F23"/>
    <mergeCell ref="C23:D23"/>
    <mergeCell ref="C25:D25"/>
    <mergeCell ref="C26:D26"/>
    <mergeCell ref="C27:D27"/>
    <mergeCell ref="C70:D70"/>
    <mergeCell ref="C65:D65"/>
    <mergeCell ref="E61:F61"/>
    <mergeCell ref="E62:F62"/>
    <mergeCell ref="C63:D63"/>
    <mergeCell ref="E63:F63"/>
    <mergeCell ref="C64:D64"/>
    <mergeCell ref="E64:F64"/>
    <mergeCell ref="E65:F65"/>
    <mergeCell ref="C61:D61"/>
    <mergeCell ref="C62:D62"/>
    <mergeCell ref="C57:D57"/>
    <mergeCell ref="E57:F57"/>
    <mergeCell ref="C58:D58"/>
    <mergeCell ref="E58:F58"/>
    <mergeCell ref="C59:D59"/>
    <mergeCell ref="C71:D71"/>
    <mergeCell ref="G72:H72"/>
    <mergeCell ref="G73:H73"/>
    <mergeCell ref="E66:F66"/>
    <mergeCell ref="E67:F67"/>
    <mergeCell ref="C68:D68"/>
    <mergeCell ref="E68:F68"/>
    <mergeCell ref="C69:D69"/>
    <mergeCell ref="E69:F69"/>
    <mergeCell ref="E70:F70"/>
    <mergeCell ref="E71:F71"/>
    <mergeCell ref="E72:F72"/>
    <mergeCell ref="E73:F73"/>
    <mergeCell ref="C66:D66"/>
    <mergeCell ref="C67:D67"/>
    <mergeCell ref="E59:F59"/>
    <mergeCell ref="E60:F60"/>
    <mergeCell ref="E52:F52"/>
    <mergeCell ref="C52:D52"/>
    <mergeCell ref="C53:D53"/>
    <mergeCell ref="E53:F53"/>
    <mergeCell ref="C54:D54"/>
    <mergeCell ref="E54:F54"/>
    <mergeCell ref="C56:D56"/>
    <mergeCell ref="E56:F56"/>
    <mergeCell ref="C60:D60"/>
    <mergeCell ref="C46:D46"/>
    <mergeCell ref="E46:F46"/>
    <mergeCell ref="C47:D47"/>
    <mergeCell ref="E47:F47"/>
    <mergeCell ref="C49:D49"/>
    <mergeCell ref="E49:F49"/>
    <mergeCell ref="C50:D50"/>
    <mergeCell ref="E50:F50"/>
    <mergeCell ref="C51:D51"/>
    <mergeCell ref="E51:F51"/>
    <mergeCell ref="E43:F43"/>
    <mergeCell ref="C43:D43"/>
    <mergeCell ref="C40:D40"/>
    <mergeCell ref="C42:D42"/>
    <mergeCell ref="E42:F42"/>
    <mergeCell ref="C37:D37"/>
    <mergeCell ref="E37:F37"/>
    <mergeCell ref="C38:D38"/>
    <mergeCell ref="C45:D45"/>
    <mergeCell ref="E45:F45"/>
    <mergeCell ref="E38:F38"/>
    <mergeCell ref="C39:D39"/>
    <mergeCell ref="E39:F39"/>
    <mergeCell ref="E40:F40"/>
    <mergeCell ref="C33:D33"/>
    <mergeCell ref="E33:F33"/>
    <mergeCell ref="C35:D35"/>
    <mergeCell ref="E35:F35"/>
    <mergeCell ref="E30:F30"/>
    <mergeCell ref="E31:F31"/>
    <mergeCell ref="E25:F25"/>
    <mergeCell ref="E26:F26"/>
    <mergeCell ref="E27:F27"/>
    <mergeCell ref="E29:F29"/>
    <mergeCell ref="C29:D29"/>
    <mergeCell ref="C30:D30"/>
    <mergeCell ref="C31:D31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E000-1740-4ED0-8D63-3DF42E619DCE}">
  <dimension ref="A1:AP1005"/>
  <sheetViews>
    <sheetView zoomScale="55" zoomScaleNormal="55" workbookViewId="0">
      <selection activeCell="G9" sqref="G9"/>
    </sheetView>
  </sheetViews>
  <sheetFormatPr defaultColWidth="14.44140625" defaultRowHeight="15" customHeight="1" x14ac:dyDescent="0.3"/>
  <cols>
    <col min="1" max="1" width="16" style="45" customWidth="1"/>
    <col min="2" max="2" width="20.33203125" style="45" customWidth="1"/>
    <col min="3" max="3" width="55.44140625" style="45" customWidth="1"/>
    <col min="4" max="5" width="11" style="45" customWidth="1"/>
    <col min="6" max="6" width="20.5546875" style="45" customWidth="1"/>
    <col min="7" max="8" width="6.109375" style="45" customWidth="1"/>
    <col min="9" max="9" width="6" style="45" customWidth="1"/>
    <col min="10" max="13" width="6.109375" style="45" customWidth="1"/>
    <col min="14" max="14" width="6" style="45" customWidth="1"/>
    <col min="15" max="15" width="6.109375" style="45" customWidth="1"/>
    <col min="16" max="20" width="6" style="45" customWidth="1"/>
    <col min="21" max="24" width="6.109375" style="45" customWidth="1"/>
    <col min="25" max="25" width="6" style="45" customWidth="1"/>
    <col min="26" max="26" width="5.88671875" style="45" customWidth="1"/>
    <col min="27" max="27" width="6.109375" style="45" customWidth="1"/>
    <col min="28" max="30" width="6" style="45" customWidth="1"/>
    <col min="31" max="40" width="9.109375" style="45" customWidth="1"/>
    <col min="41" max="16384" width="14.44140625" style="45"/>
  </cols>
  <sheetData>
    <row r="1" spans="1:40" ht="16.5" customHeight="1" thickBot="1" x14ac:dyDescent="0.35">
      <c r="A1" s="130" t="s">
        <v>0</v>
      </c>
      <c r="B1" s="131"/>
      <c r="C1" s="60" t="s">
        <v>1</v>
      </c>
      <c r="D1" s="46"/>
      <c r="E1" s="48"/>
      <c r="F1" s="59" t="s">
        <v>2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</row>
    <row r="2" spans="1:40" ht="16.5" customHeight="1" thickBot="1" x14ac:dyDescent="0.35">
      <c r="A2" s="130" t="s">
        <v>3</v>
      </c>
      <c r="B2" s="131"/>
      <c r="C2" s="51" t="s">
        <v>175</v>
      </c>
      <c r="D2" s="46"/>
      <c r="E2" s="58"/>
      <c r="F2" s="57" t="s">
        <v>5</v>
      </c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</row>
    <row r="3" spans="1:40" ht="16.5" customHeight="1" thickBot="1" x14ac:dyDescent="0.35">
      <c r="A3" s="130" t="s">
        <v>6</v>
      </c>
      <c r="B3" s="131"/>
      <c r="C3" s="54">
        <v>46132</v>
      </c>
      <c r="D3" s="46"/>
      <c r="E3" s="56"/>
      <c r="F3" s="55" t="s">
        <v>7</v>
      </c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</row>
    <row r="4" spans="1:40" ht="17.25" customHeight="1" thickBot="1" x14ac:dyDescent="0.35">
      <c r="A4" s="130" t="s">
        <v>8</v>
      </c>
      <c r="B4" s="131"/>
      <c r="C4" s="54">
        <v>46146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</row>
    <row r="5" spans="1:40" ht="16.5" customHeight="1" thickBot="1" x14ac:dyDescent="0.3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</row>
    <row r="6" spans="1:40" ht="16.5" customHeight="1" thickBot="1" x14ac:dyDescent="0.35">
      <c r="A6" s="46"/>
      <c r="B6" s="135" t="s">
        <v>254</v>
      </c>
      <c r="C6" s="136"/>
      <c r="D6" s="136"/>
      <c r="E6" s="131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</row>
    <row r="7" spans="1:40" ht="16.5" customHeight="1" thickBot="1" x14ac:dyDescent="0.35">
      <c r="A7" s="46"/>
      <c r="B7" s="53" t="s">
        <v>10</v>
      </c>
      <c r="C7" s="53" t="s">
        <v>11</v>
      </c>
      <c r="D7" s="53" t="s">
        <v>12</v>
      </c>
      <c r="E7" s="53" t="s">
        <v>13</v>
      </c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</row>
    <row r="8" spans="1:40" ht="16.5" customHeight="1" thickBot="1" x14ac:dyDescent="0.35">
      <c r="A8" s="46"/>
      <c r="B8" s="52">
        <v>1</v>
      </c>
      <c r="C8" s="51" t="s">
        <v>14</v>
      </c>
      <c r="D8" s="51" cm="1">
        <f t="array" ref="D8">SUMPRODUCT((ISNUMBER(SEARCH("Hội", $E$16:$E$128)) + ISNUMBER(SEARCH("All team", $E$16:$E$128))) * $G$16:$G$128 / IF(ISNUMBER(SEARCH("All team", $E$16:$E$128)), 5, LEN($E$16:$E$128) - LEN(SUBSTITUTE($E$16:$E$128, ",", "")) + 1))</f>
        <v>32.5</v>
      </c>
      <c r="E8" s="51" cm="1">
        <f t="array" ref="E8">SUMPRODUCT((ISNUMBER(SEARCH("Hội", $E$16:$E$128)) + ISNUMBER(SEARCH("All team", $E$16:$E$128))) * $H$16:$H$128 / IF(ISNUMBER(SEARCH("All team", $E$16:$E$128)), 5, LEN($E$16:$E$128) - LEN(SUBSTITUTE($E$16:$E$128, ",", "")) + 1))</f>
        <v>33.5</v>
      </c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</row>
    <row r="9" spans="1:40" ht="16.5" customHeight="1" thickBot="1" x14ac:dyDescent="0.35">
      <c r="A9" s="46"/>
      <c r="B9" s="52">
        <v>2</v>
      </c>
      <c r="C9" s="51" t="s">
        <v>15</v>
      </c>
      <c r="D9" s="51" cm="1">
        <f t="array" ref="D9">SUMPRODUCT((ISNUMBER(SEARCH("Giang", $E$16:$E$128)) + ISNUMBER(SEARCH("All team", $E$16:$E$128))) * $G$16:$G$128 / IF(ISNUMBER(SEARCH("All team", $E$16:$E$128)), 5, LEN($E$16:$E$128) - LEN(SUBSTITUTE($E$16:$E$128, ",", "")) + 1))</f>
        <v>29.999999999999996</v>
      </c>
      <c r="E9" s="51" cm="1">
        <f t="array" ref="E9">SUMPRODUCT((ISNUMBER(SEARCH("Giang", $E$16:$E$128)) + ISNUMBER(SEARCH("All team", $E$16:$E$128))) * $H$16:$H$128 / IF(ISNUMBER(SEARCH("All team", $E$16:$E$128)), 5, LEN($E$16:$E$128) - LEN(SUBSTITUTE($E$16:$E$128, ",", "")) + 1))</f>
        <v>30.999999999999996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</row>
    <row r="10" spans="1:40" ht="16.5" customHeight="1" thickBot="1" x14ac:dyDescent="0.35">
      <c r="A10" s="46"/>
      <c r="B10" s="52">
        <v>3</v>
      </c>
      <c r="C10" s="51" t="s">
        <v>16</v>
      </c>
      <c r="D10" s="51" cm="1">
        <f t="array" ref="D10">SUMPRODUCT((ISNUMBER(SEARCH("Nhi", $E$16:$E$128)) + ISNUMBER(SEARCH("All team", $E$16:$E$128))) * $G$16:$G$128 / IF(ISNUMBER(SEARCH("All team", $E$16:$E$128)), 5, LEN($E$16:$E$128) - LEN(SUBSTITUTE($E$16:$E$128, ",", "")) + 1))</f>
        <v>33.5</v>
      </c>
      <c r="E10" s="51" cm="1">
        <f t="array" ref="E10">SUMPRODUCT((ISNUMBER(SEARCH("Nhi", $E$16:$E$128)) + ISNUMBER(SEARCH("All team", $E$16:$E$128))) * $H$16:$H$128 / IF(ISNUMBER(SEARCH("All team", $E$16:$E$128)), 5, LEN($E$16:$E$128) - LEN(SUBSTITUTE($E$16:$E$128, ",", "")) + 1))</f>
        <v>36</v>
      </c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</row>
    <row r="11" spans="1:40" ht="16.5" customHeight="1" thickBot="1" x14ac:dyDescent="0.35">
      <c r="A11" s="46"/>
      <c r="B11" s="52">
        <v>4</v>
      </c>
      <c r="C11" s="51" t="s">
        <v>17</v>
      </c>
      <c r="D11" s="51" cm="1">
        <f t="array" ref="D11">SUMPRODUCT((ISNUMBER(SEARCH("Khang", $E$16:$E$128)) + ISNUMBER(SEARCH("All team", $E$16:$E$128))) * $G$16:$G$128 / IF(ISNUMBER(SEARCH("All team", $E$16:$E$128)), 5, LEN($E$16:$E$128) - LEN(SUBSTITUTE($E$16:$E$128, ",", "")) + 1))</f>
        <v>24.999999999999996</v>
      </c>
      <c r="E11" s="51" cm="1">
        <f t="array" ref="E11">SUMPRODUCT((ISNUMBER(SEARCH("Khang", $E$16:$E$128)) + ISNUMBER(SEARCH("All team", $E$16:$E$128))) * $H$16:$H$128 / IF(ISNUMBER(SEARCH("All team", $E$16:$E$128)), 5, LEN($E$16:$E$128) - LEN(SUBSTITUTE($E$16:$E$128, ",", "")) + 1))</f>
        <v>23.499999999999996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</row>
    <row r="12" spans="1:40" ht="16.5" customHeight="1" thickBot="1" x14ac:dyDescent="0.35">
      <c r="A12" s="46"/>
      <c r="B12" s="52">
        <v>5</v>
      </c>
      <c r="C12" s="51" t="s">
        <v>18</v>
      </c>
      <c r="D12" s="51" cm="1">
        <f t="array" ref="D12">SUMPRODUCT((ISNUMBER(SEARCH("Lĩnh", $E$16:$E$128)) + ISNUMBER(SEARCH("All team", $E$16:$E$128))) * $G$16:$G$128 / IF(ISNUMBER(SEARCH("All team", $E$16:$E$128)), 5, LEN($E$16:$E$128) - LEN(SUBSTITUTE($E$16:$E$128, ",", "")) + 1))</f>
        <v>27.499999999999996</v>
      </c>
      <c r="E12" s="51" cm="1">
        <f t="array" ref="E12">SUMPRODUCT((ISNUMBER(SEARCH("Lĩnh", $E$16:$E$128)) + ISNUMBER(SEARCH("All team", $E$16:$E$128))) * $H$16:$H$128 / IF(ISNUMBER(SEARCH("All team", $E$16:$E$128)), 5, LEN($E$16:$E$128) - LEN(SUBSTITUTE($E$16:$E$128, ",", "")) + 1))</f>
        <v>26.999999999999996</v>
      </c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</row>
    <row r="13" spans="1:40" ht="16.5" customHeight="1" thickBot="1" x14ac:dyDescent="0.35">
      <c r="A13" s="46"/>
      <c r="B13" s="135" t="s">
        <v>19</v>
      </c>
      <c r="C13" s="131"/>
      <c r="D13" s="50">
        <f>SUM(D8:D12)</f>
        <v>148.5</v>
      </c>
      <c r="E13" s="50">
        <f>SUM(E8:E12)</f>
        <v>151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</row>
    <row r="14" spans="1:40" ht="16.5" customHeight="1" x14ac:dyDescent="0.3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</row>
    <row r="15" spans="1:40" ht="62.25" customHeight="1" x14ac:dyDescent="0.3">
      <c r="A15" s="77" t="s">
        <v>20</v>
      </c>
      <c r="B15" s="77" t="s">
        <v>21</v>
      </c>
      <c r="C15" s="137" t="s">
        <v>22</v>
      </c>
      <c r="D15" s="133"/>
      <c r="E15" s="138" t="s">
        <v>23</v>
      </c>
      <c r="F15" s="133"/>
      <c r="G15" s="78" t="s">
        <v>12</v>
      </c>
      <c r="H15" s="78" t="s">
        <v>13</v>
      </c>
      <c r="I15" s="79">
        <v>46132</v>
      </c>
      <c r="J15" s="79">
        <v>46133</v>
      </c>
      <c r="K15" s="79">
        <v>46134</v>
      </c>
      <c r="L15" s="79">
        <v>46135</v>
      </c>
      <c r="M15" s="79">
        <v>46136</v>
      </c>
      <c r="N15" s="79">
        <v>46137</v>
      </c>
      <c r="O15" s="79">
        <v>46138</v>
      </c>
      <c r="P15" s="79">
        <v>46139</v>
      </c>
      <c r="Q15" s="79">
        <v>46140</v>
      </c>
      <c r="R15" s="79">
        <v>46141</v>
      </c>
      <c r="S15" s="79">
        <v>46142</v>
      </c>
      <c r="T15" s="79">
        <v>46143</v>
      </c>
      <c r="U15" s="79">
        <v>46144</v>
      </c>
      <c r="V15" s="79">
        <v>46145</v>
      </c>
      <c r="W15" s="79">
        <v>46146</v>
      </c>
      <c r="X15" s="49"/>
      <c r="Y15" s="49"/>
      <c r="Z15" s="49"/>
      <c r="AA15" s="49"/>
      <c r="AB15" s="49"/>
      <c r="AC15" s="49"/>
      <c r="AD15" s="49"/>
      <c r="AE15" s="49"/>
      <c r="AF15" s="46"/>
      <c r="AG15" s="46"/>
      <c r="AH15" s="46"/>
      <c r="AI15" s="46"/>
      <c r="AJ15" s="46"/>
      <c r="AK15" s="46"/>
      <c r="AL15" s="46"/>
      <c r="AM15" s="46"/>
      <c r="AN15" s="46"/>
    </row>
    <row r="16" spans="1:40" ht="16.5" customHeight="1" x14ac:dyDescent="0.3">
      <c r="A16" s="132" t="s">
        <v>175</v>
      </c>
      <c r="B16" s="126" t="s">
        <v>253</v>
      </c>
      <c r="C16" s="127"/>
      <c r="D16" s="128"/>
      <c r="E16" s="129" t="s">
        <v>25</v>
      </c>
      <c r="F16" s="129"/>
      <c r="G16" s="80">
        <v>1</v>
      </c>
      <c r="H16" s="80">
        <v>1</v>
      </c>
      <c r="I16" s="81">
        <v>1</v>
      </c>
      <c r="J16" s="82">
        <v>0</v>
      </c>
      <c r="K16" s="81">
        <v>0</v>
      </c>
      <c r="L16" s="81">
        <v>0</v>
      </c>
      <c r="M16" s="81">
        <v>0</v>
      </c>
      <c r="N16" s="81">
        <v>0</v>
      </c>
      <c r="O16" s="81">
        <v>0</v>
      </c>
      <c r="P16" s="81">
        <v>0</v>
      </c>
      <c r="Q16" s="81">
        <v>0</v>
      </c>
      <c r="R16" s="81">
        <v>0</v>
      </c>
      <c r="S16" s="81">
        <v>0</v>
      </c>
      <c r="T16" s="81">
        <v>0</v>
      </c>
      <c r="U16" s="81">
        <v>0</v>
      </c>
      <c r="V16" s="81">
        <v>0</v>
      </c>
      <c r="W16" s="81">
        <v>0</v>
      </c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</row>
    <row r="17" spans="1:42" ht="16.5" customHeight="1" x14ac:dyDescent="0.3">
      <c r="A17" s="133"/>
      <c r="B17" s="126" t="s">
        <v>252</v>
      </c>
      <c r="C17" s="127"/>
      <c r="D17" s="128"/>
      <c r="E17" s="129" t="s">
        <v>27</v>
      </c>
      <c r="F17" s="129"/>
      <c r="G17" s="80">
        <v>2</v>
      </c>
      <c r="H17" s="80">
        <v>2</v>
      </c>
      <c r="I17" s="81">
        <v>2</v>
      </c>
      <c r="J17" s="82">
        <v>0</v>
      </c>
      <c r="K17" s="81">
        <v>0</v>
      </c>
      <c r="L17" s="81">
        <v>0</v>
      </c>
      <c r="M17" s="81">
        <v>0</v>
      </c>
      <c r="N17" s="81">
        <v>0</v>
      </c>
      <c r="O17" s="81">
        <v>0</v>
      </c>
      <c r="P17" s="81">
        <v>0</v>
      </c>
      <c r="Q17" s="81">
        <v>0</v>
      </c>
      <c r="R17" s="81">
        <v>0</v>
      </c>
      <c r="S17" s="81">
        <v>0</v>
      </c>
      <c r="T17" s="81">
        <v>0</v>
      </c>
      <c r="U17" s="81">
        <v>0</v>
      </c>
      <c r="V17" s="81">
        <v>0</v>
      </c>
      <c r="W17" s="81">
        <v>0</v>
      </c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</row>
    <row r="18" spans="1:42" ht="16.5" customHeight="1" x14ac:dyDescent="0.3">
      <c r="A18" s="133"/>
      <c r="B18" s="126" t="s">
        <v>251</v>
      </c>
      <c r="C18" s="127"/>
      <c r="D18" s="128"/>
      <c r="E18" s="129" t="s">
        <v>44</v>
      </c>
      <c r="F18" s="129"/>
      <c r="G18" s="80">
        <v>1</v>
      </c>
      <c r="H18" s="80">
        <v>4</v>
      </c>
      <c r="I18" s="81">
        <v>4</v>
      </c>
      <c r="J18" s="82">
        <v>0</v>
      </c>
      <c r="K18" s="81">
        <v>0</v>
      </c>
      <c r="L18" s="81">
        <v>0</v>
      </c>
      <c r="M18" s="81">
        <v>0</v>
      </c>
      <c r="N18" s="81">
        <v>0</v>
      </c>
      <c r="O18" s="81">
        <v>0</v>
      </c>
      <c r="P18" s="81">
        <v>0</v>
      </c>
      <c r="Q18" s="81">
        <v>0</v>
      </c>
      <c r="R18" s="81">
        <v>0</v>
      </c>
      <c r="S18" s="81">
        <v>0</v>
      </c>
      <c r="T18" s="81">
        <v>0</v>
      </c>
      <c r="U18" s="81">
        <v>0</v>
      </c>
      <c r="V18" s="81">
        <v>0</v>
      </c>
      <c r="W18" s="81">
        <v>0</v>
      </c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</row>
    <row r="19" spans="1:42" ht="16.5" customHeight="1" x14ac:dyDescent="0.3">
      <c r="A19" s="133"/>
      <c r="B19" s="126"/>
      <c r="C19" s="127"/>
      <c r="D19" s="128"/>
      <c r="E19" s="129"/>
      <c r="F19" s="129"/>
      <c r="G19" s="80"/>
      <c r="H19" s="80"/>
      <c r="I19" s="81"/>
      <c r="J19" s="83">
        <v>3</v>
      </c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</row>
    <row r="20" spans="1:42" ht="16.5" customHeight="1" x14ac:dyDescent="0.3">
      <c r="A20" s="133"/>
      <c r="B20" s="125" t="s">
        <v>29</v>
      </c>
      <c r="C20" s="129" t="s">
        <v>242</v>
      </c>
      <c r="D20" s="129"/>
      <c r="E20" s="129" t="s">
        <v>31</v>
      </c>
      <c r="F20" s="129"/>
      <c r="G20" s="80">
        <v>1</v>
      </c>
      <c r="H20" s="80">
        <v>1</v>
      </c>
      <c r="I20" s="81">
        <v>1</v>
      </c>
      <c r="J20" s="82">
        <v>0</v>
      </c>
      <c r="K20" s="81">
        <v>0</v>
      </c>
      <c r="L20" s="81">
        <v>0</v>
      </c>
      <c r="M20" s="81">
        <v>0</v>
      </c>
      <c r="N20" s="81">
        <v>0</v>
      </c>
      <c r="O20" s="81">
        <v>0</v>
      </c>
      <c r="P20" s="81">
        <v>0</v>
      </c>
      <c r="Q20" s="81">
        <v>0</v>
      </c>
      <c r="R20" s="81">
        <v>0</v>
      </c>
      <c r="S20" s="81">
        <v>0</v>
      </c>
      <c r="T20" s="81">
        <v>0</v>
      </c>
      <c r="U20" s="81">
        <v>0</v>
      </c>
      <c r="V20" s="81">
        <v>0</v>
      </c>
      <c r="W20" s="81">
        <v>0</v>
      </c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P20" s="47"/>
    </row>
    <row r="21" spans="1:42" ht="16.5" customHeight="1" x14ac:dyDescent="0.3">
      <c r="A21" s="133"/>
      <c r="B21" s="125"/>
      <c r="C21" s="129" t="s">
        <v>250</v>
      </c>
      <c r="D21" s="129"/>
      <c r="E21" s="129" t="s">
        <v>31</v>
      </c>
      <c r="F21" s="129"/>
      <c r="G21" s="80">
        <v>1</v>
      </c>
      <c r="H21" s="80">
        <v>1</v>
      </c>
      <c r="I21" s="81">
        <v>1</v>
      </c>
      <c r="J21" s="82">
        <v>0</v>
      </c>
      <c r="K21" s="81">
        <v>0</v>
      </c>
      <c r="L21" s="81">
        <v>0</v>
      </c>
      <c r="M21" s="81">
        <v>0</v>
      </c>
      <c r="N21" s="81">
        <v>0</v>
      </c>
      <c r="O21" s="81">
        <v>0</v>
      </c>
      <c r="P21" s="81">
        <v>0</v>
      </c>
      <c r="Q21" s="81">
        <v>0</v>
      </c>
      <c r="R21" s="81">
        <v>0</v>
      </c>
      <c r="S21" s="81">
        <v>0</v>
      </c>
      <c r="T21" s="81">
        <v>0</v>
      </c>
      <c r="U21" s="81">
        <v>0</v>
      </c>
      <c r="V21" s="81">
        <v>0</v>
      </c>
      <c r="W21" s="81">
        <v>0</v>
      </c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P21" s="47"/>
    </row>
    <row r="22" spans="1:42" ht="16.5" customHeight="1" x14ac:dyDescent="0.3">
      <c r="A22" s="133"/>
      <c r="B22" s="125"/>
      <c r="C22" s="129" t="s">
        <v>249</v>
      </c>
      <c r="D22" s="129"/>
      <c r="E22" s="129" t="s">
        <v>31</v>
      </c>
      <c r="F22" s="129"/>
      <c r="G22" s="80">
        <v>1</v>
      </c>
      <c r="H22" s="80">
        <v>2</v>
      </c>
      <c r="I22" s="81">
        <v>2</v>
      </c>
      <c r="J22" s="82">
        <v>0</v>
      </c>
      <c r="K22" s="81">
        <v>0</v>
      </c>
      <c r="L22" s="81">
        <v>0</v>
      </c>
      <c r="M22" s="81">
        <v>0</v>
      </c>
      <c r="N22" s="81">
        <v>0</v>
      </c>
      <c r="O22" s="81">
        <v>0</v>
      </c>
      <c r="P22" s="81">
        <v>0</v>
      </c>
      <c r="Q22" s="81">
        <v>0</v>
      </c>
      <c r="R22" s="81">
        <v>0</v>
      </c>
      <c r="S22" s="81">
        <v>0</v>
      </c>
      <c r="T22" s="81">
        <v>0</v>
      </c>
      <c r="U22" s="81">
        <v>0</v>
      </c>
      <c r="V22" s="81">
        <v>0</v>
      </c>
      <c r="W22" s="81">
        <v>0</v>
      </c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P22" s="47"/>
    </row>
    <row r="23" spans="1:42" ht="16.5" customHeight="1" x14ac:dyDescent="0.3">
      <c r="A23" s="133"/>
      <c r="B23" s="125"/>
      <c r="C23" s="129" t="s">
        <v>248</v>
      </c>
      <c r="D23" s="129"/>
      <c r="E23" s="129" t="s">
        <v>31</v>
      </c>
      <c r="F23" s="129"/>
      <c r="G23" s="80">
        <v>2</v>
      </c>
      <c r="H23" s="80">
        <v>2</v>
      </c>
      <c r="I23" s="81">
        <v>2</v>
      </c>
      <c r="J23" s="82">
        <v>0</v>
      </c>
      <c r="K23" s="81">
        <v>0</v>
      </c>
      <c r="L23" s="81">
        <v>0</v>
      </c>
      <c r="M23" s="81">
        <v>0</v>
      </c>
      <c r="N23" s="81">
        <v>0</v>
      </c>
      <c r="O23" s="81">
        <v>0</v>
      </c>
      <c r="P23" s="81">
        <v>0</v>
      </c>
      <c r="Q23" s="81">
        <v>0</v>
      </c>
      <c r="R23" s="81">
        <v>0</v>
      </c>
      <c r="S23" s="81">
        <v>0</v>
      </c>
      <c r="T23" s="81">
        <v>0</v>
      </c>
      <c r="U23" s="81">
        <v>0</v>
      </c>
      <c r="V23" s="81">
        <v>0</v>
      </c>
      <c r="W23" s="81">
        <v>0</v>
      </c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P23" s="47"/>
    </row>
    <row r="24" spans="1:42" ht="16.5" customHeight="1" x14ac:dyDescent="0.3">
      <c r="A24" s="133"/>
      <c r="B24" s="125"/>
      <c r="C24" s="129" t="s">
        <v>247</v>
      </c>
      <c r="D24" s="129"/>
      <c r="E24" s="129" t="s">
        <v>31</v>
      </c>
      <c r="F24" s="129"/>
      <c r="G24" s="80">
        <v>3</v>
      </c>
      <c r="H24" s="80">
        <v>2</v>
      </c>
      <c r="I24" s="81">
        <v>2</v>
      </c>
      <c r="J24" s="81">
        <v>2</v>
      </c>
      <c r="K24" s="82">
        <v>0</v>
      </c>
      <c r="L24" s="81">
        <v>0</v>
      </c>
      <c r="M24" s="81">
        <v>0</v>
      </c>
      <c r="N24" s="81">
        <v>0</v>
      </c>
      <c r="O24" s="81">
        <v>0</v>
      </c>
      <c r="P24" s="81">
        <v>0</v>
      </c>
      <c r="Q24" s="81">
        <v>0</v>
      </c>
      <c r="R24" s="81">
        <v>0</v>
      </c>
      <c r="S24" s="81">
        <v>0</v>
      </c>
      <c r="T24" s="81">
        <v>0</v>
      </c>
      <c r="U24" s="81">
        <v>0</v>
      </c>
      <c r="V24" s="81">
        <v>0</v>
      </c>
      <c r="W24" s="81">
        <v>0</v>
      </c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P24" s="47"/>
    </row>
    <row r="25" spans="1:42" ht="16.5" customHeight="1" x14ac:dyDescent="0.3">
      <c r="A25" s="133"/>
      <c r="B25" s="125"/>
      <c r="C25" s="129"/>
      <c r="D25" s="129"/>
      <c r="E25" s="129"/>
      <c r="F25" s="129"/>
      <c r="G25" s="80"/>
      <c r="H25" s="80"/>
      <c r="I25" s="81"/>
      <c r="J25" s="81"/>
      <c r="K25" s="84">
        <v>1</v>
      </c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P25" s="47"/>
    </row>
    <row r="26" spans="1:42" ht="16.5" customHeight="1" x14ac:dyDescent="0.3">
      <c r="A26" s="133"/>
      <c r="B26" s="125"/>
      <c r="C26" s="129" t="s">
        <v>246</v>
      </c>
      <c r="D26" s="129"/>
      <c r="E26" s="129" t="s">
        <v>31</v>
      </c>
      <c r="F26" s="129"/>
      <c r="G26" s="80">
        <v>2</v>
      </c>
      <c r="H26" s="80">
        <v>2</v>
      </c>
      <c r="I26" s="81">
        <v>2</v>
      </c>
      <c r="J26" s="81">
        <v>2</v>
      </c>
      <c r="K26" s="82">
        <v>0</v>
      </c>
      <c r="L26" s="81">
        <v>0</v>
      </c>
      <c r="M26" s="81">
        <v>0</v>
      </c>
      <c r="N26" s="81">
        <v>0</v>
      </c>
      <c r="O26" s="81">
        <v>0</v>
      </c>
      <c r="P26" s="81">
        <v>0</v>
      </c>
      <c r="Q26" s="81">
        <v>0</v>
      </c>
      <c r="R26" s="81">
        <v>0</v>
      </c>
      <c r="S26" s="81">
        <v>0</v>
      </c>
      <c r="T26" s="81">
        <v>0</v>
      </c>
      <c r="U26" s="81">
        <v>0</v>
      </c>
      <c r="V26" s="81">
        <v>0</v>
      </c>
      <c r="W26" s="81">
        <v>0</v>
      </c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P26" s="47"/>
    </row>
    <row r="27" spans="1:42" ht="16.5" customHeight="1" x14ac:dyDescent="0.3">
      <c r="A27" s="133"/>
      <c r="B27" s="125"/>
      <c r="C27" s="129" t="s">
        <v>245</v>
      </c>
      <c r="D27" s="129"/>
      <c r="E27" s="129" t="s">
        <v>31</v>
      </c>
      <c r="F27" s="129"/>
      <c r="G27" s="80">
        <v>2</v>
      </c>
      <c r="H27" s="80">
        <v>2</v>
      </c>
      <c r="I27" s="81">
        <v>2</v>
      </c>
      <c r="J27" s="81">
        <v>2</v>
      </c>
      <c r="K27" s="82">
        <v>0</v>
      </c>
      <c r="L27" s="81">
        <v>0</v>
      </c>
      <c r="M27" s="81">
        <v>0</v>
      </c>
      <c r="N27" s="81">
        <v>0</v>
      </c>
      <c r="O27" s="81">
        <v>0</v>
      </c>
      <c r="P27" s="81">
        <v>0</v>
      </c>
      <c r="Q27" s="81">
        <v>0</v>
      </c>
      <c r="R27" s="81">
        <v>0</v>
      </c>
      <c r="S27" s="81">
        <v>0</v>
      </c>
      <c r="T27" s="81">
        <v>0</v>
      </c>
      <c r="U27" s="81">
        <v>0</v>
      </c>
      <c r="V27" s="81">
        <v>0</v>
      </c>
      <c r="W27" s="81">
        <v>0</v>
      </c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P27" s="47"/>
    </row>
    <row r="28" spans="1:42" ht="16.5" customHeight="1" x14ac:dyDescent="0.3">
      <c r="A28" s="133"/>
      <c r="B28" s="125"/>
      <c r="C28" s="129" t="s">
        <v>244</v>
      </c>
      <c r="D28" s="129"/>
      <c r="E28" s="129" t="s">
        <v>45</v>
      </c>
      <c r="F28" s="129"/>
      <c r="G28" s="80">
        <v>1</v>
      </c>
      <c r="H28" s="80">
        <v>1</v>
      </c>
      <c r="I28" s="81">
        <v>1</v>
      </c>
      <c r="J28" s="81">
        <v>1</v>
      </c>
      <c r="K28" s="82">
        <v>0</v>
      </c>
      <c r="L28" s="81">
        <v>0</v>
      </c>
      <c r="M28" s="81">
        <v>0</v>
      </c>
      <c r="N28" s="81">
        <v>0</v>
      </c>
      <c r="O28" s="81">
        <v>0</v>
      </c>
      <c r="P28" s="81">
        <v>0</v>
      </c>
      <c r="Q28" s="81">
        <v>0</v>
      </c>
      <c r="R28" s="81">
        <v>0</v>
      </c>
      <c r="S28" s="81">
        <v>0</v>
      </c>
      <c r="T28" s="81">
        <v>0</v>
      </c>
      <c r="U28" s="81">
        <v>0</v>
      </c>
      <c r="V28" s="81">
        <v>0</v>
      </c>
      <c r="W28" s="81">
        <v>0</v>
      </c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P28" s="47"/>
    </row>
    <row r="29" spans="1:42" ht="16.5" customHeight="1" x14ac:dyDescent="0.3">
      <c r="A29" s="133"/>
      <c r="B29" s="125"/>
      <c r="C29" s="129" t="s">
        <v>243</v>
      </c>
      <c r="D29" s="129"/>
      <c r="E29" s="129" t="s">
        <v>45</v>
      </c>
      <c r="F29" s="129"/>
      <c r="G29" s="80">
        <v>1</v>
      </c>
      <c r="H29" s="80">
        <v>1</v>
      </c>
      <c r="I29" s="81">
        <v>1</v>
      </c>
      <c r="J29" s="81">
        <v>1</v>
      </c>
      <c r="K29" s="82">
        <v>0</v>
      </c>
      <c r="L29" s="81">
        <v>0</v>
      </c>
      <c r="M29" s="81">
        <v>0</v>
      </c>
      <c r="N29" s="81">
        <v>0</v>
      </c>
      <c r="O29" s="81">
        <v>0</v>
      </c>
      <c r="P29" s="81">
        <v>0</v>
      </c>
      <c r="Q29" s="81">
        <v>0</v>
      </c>
      <c r="R29" s="81">
        <v>0</v>
      </c>
      <c r="S29" s="81">
        <v>0</v>
      </c>
      <c r="T29" s="81">
        <v>0</v>
      </c>
      <c r="U29" s="81">
        <v>0</v>
      </c>
      <c r="V29" s="81">
        <v>0</v>
      </c>
      <c r="W29" s="81">
        <v>0</v>
      </c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</row>
    <row r="30" spans="1:42" ht="16.5" customHeight="1" x14ac:dyDescent="0.3">
      <c r="A30" s="133"/>
      <c r="B30" s="125"/>
      <c r="C30" s="129" t="s">
        <v>255</v>
      </c>
      <c r="D30" s="129"/>
      <c r="E30" s="129" t="s">
        <v>27</v>
      </c>
      <c r="F30" s="129"/>
      <c r="G30" s="80">
        <v>1</v>
      </c>
      <c r="H30" s="80">
        <v>1</v>
      </c>
      <c r="I30" s="81">
        <v>1</v>
      </c>
      <c r="J30" s="81">
        <v>1</v>
      </c>
      <c r="K30" s="82">
        <v>0</v>
      </c>
      <c r="L30" s="81">
        <v>0</v>
      </c>
      <c r="M30" s="81">
        <v>0</v>
      </c>
      <c r="N30" s="81">
        <v>0</v>
      </c>
      <c r="O30" s="81">
        <v>0</v>
      </c>
      <c r="P30" s="81">
        <v>0</v>
      </c>
      <c r="Q30" s="81">
        <v>0</v>
      </c>
      <c r="R30" s="81">
        <v>0</v>
      </c>
      <c r="S30" s="81">
        <v>0</v>
      </c>
      <c r="T30" s="81">
        <v>0</v>
      </c>
      <c r="U30" s="81">
        <v>0</v>
      </c>
      <c r="V30" s="81">
        <v>0</v>
      </c>
      <c r="W30" s="81">
        <v>0</v>
      </c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</row>
    <row r="31" spans="1:42" ht="16.5" customHeight="1" x14ac:dyDescent="0.3">
      <c r="A31" s="133"/>
      <c r="B31" s="125"/>
      <c r="C31" s="129" t="s">
        <v>256</v>
      </c>
      <c r="D31" s="129"/>
      <c r="E31" s="129" t="s">
        <v>27</v>
      </c>
      <c r="F31" s="129"/>
      <c r="G31" s="80">
        <v>2</v>
      </c>
      <c r="H31" s="80">
        <v>2</v>
      </c>
      <c r="I31" s="81">
        <v>2</v>
      </c>
      <c r="J31" s="81">
        <v>2</v>
      </c>
      <c r="K31" s="82">
        <v>0</v>
      </c>
      <c r="L31" s="81">
        <v>0</v>
      </c>
      <c r="M31" s="81">
        <v>0</v>
      </c>
      <c r="N31" s="81">
        <v>0</v>
      </c>
      <c r="O31" s="81">
        <v>0</v>
      </c>
      <c r="P31" s="81">
        <v>0</v>
      </c>
      <c r="Q31" s="81">
        <v>0</v>
      </c>
      <c r="R31" s="81">
        <v>0</v>
      </c>
      <c r="S31" s="81">
        <v>0</v>
      </c>
      <c r="T31" s="81">
        <v>0</v>
      </c>
      <c r="U31" s="81">
        <v>0</v>
      </c>
      <c r="V31" s="81">
        <v>0</v>
      </c>
      <c r="W31" s="81">
        <v>0</v>
      </c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</row>
    <row r="32" spans="1:42" ht="16.5" customHeight="1" x14ac:dyDescent="0.3">
      <c r="A32" s="133"/>
      <c r="B32" s="125"/>
      <c r="C32" s="129" t="s">
        <v>257</v>
      </c>
      <c r="D32" s="129"/>
      <c r="E32" s="129" t="s">
        <v>27</v>
      </c>
      <c r="F32" s="129"/>
      <c r="G32" s="80">
        <v>1</v>
      </c>
      <c r="H32" s="80">
        <v>2</v>
      </c>
      <c r="I32" s="81">
        <v>2</v>
      </c>
      <c r="J32" s="81">
        <v>2</v>
      </c>
      <c r="K32" s="82">
        <v>0</v>
      </c>
      <c r="L32" s="81">
        <v>0</v>
      </c>
      <c r="M32" s="81">
        <v>0</v>
      </c>
      <c r="N32" s="81">
        <v>0</v>
      </c>
      <c r="O32" s="81">
        <v>0</v>
      </c>
      <c r="P32" s="81">
        <v>0</v>
      </c>
      <c r="Q32" s="81">
        <v>0</v>
      </c>
      <c r="R32" s="81">
        <v>0</v>
      </c>
      <c r="S32" s="81">
        <v>0</v>
      </c>
      <c r="T32" s="81">
        <v>0</v>
      </c>
      <c r="U32" s="81">
        <v>0</v>
      </c>
      <c r="V32" s="81">
        <v>0</v>
      </c>
      <c r="W32" s="81">
        <v>0</v>
      </c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</row>
    <row r="33" spans="1:40" ht="16.5" customHeight="1" x14ac:dyDescent="0.3">
      <c r="A33" s="133"/>
      <c r="B33" s="125"/>
      <c r="C33" s="129"/>
      <c r="D33" s="129"/>
      <c r="E33" s="129"/>
      <c r="F33" s="129"/>
      <c r="G33" s="80"/>
      <c r="H33" s="80"/>
      <c r="I33" s="81"/>
      <c r="J33" s="81"/>
      <c r="K33" s="85">
        <v>1</v>
      </c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</row>
    <row r="34" spans="1:40" ht="16.5" customHeight="1" x14ac:dyDescent="0.3">
      <c r="A34" s="133"/>
      <c r="B34" s="125" t="s">
        <v>43</v>
      </c>
      <c r="C34" s="129" t="s">
        <v>242</v>
      </c>
      <c r="D34" s="129"/>
      <c r="E34" s="129" t="s">
        <v>31</v>
      </c>
      <c r="F34" s="129"/>
      <c r="G34" s="80">
        <v>1</v>
      </c>
      <c r="H34" s="80">
        <v>1</v>
      </c>
      <c r="I34" s="81">
        <v>1</v>
      </c>
      <c r="J34" s="81">
        <v>1</v>
      </c>
      <c r="K34" s="81">
        <v>1</v>
      </c>
      <c r="L34" s="82">
        <v>0</v>
      </c>
      <c r="M34" s="81">
        <v>0</v>
      </c>
      <c r="N34" s="81">
        <v>0</v>
      </c>
      <c r="O34" s="81">
        <v>0</v>
      </c>
      <c r="P34" s="81">
        <v>0</v>
      </c>
      <c r="Q34" s="81">
        <v>0</v>
      </c>
      <c r="R34" s="81">
        <v>0</v>
      </c>
      <c r="S34" s="81">
        <v>0</v>
      </c>
      <c r="T34" s="81">
        <v>0</v>
      </c>
      <c r="U34" s="81">
        <v>0</v>
      </c>
      <c r="V34" s="81">
        <v>0</v>
      </c>
      <c r="W34" s="81">
        <v>0</v>
      </c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</row>
    <row r="35" spans="1:40" ht="16.5" customHeight="1" x14ac:dyDescent="0.3">
      <c r="A35" s="133"/>
      <c r="B35" s="125"/>
      <c r="C35" s="129" t="s">
        <v>241</v>
      </c>
      <c r="D35" s="129"/>
      <c r="E35" s="129" t="s">
        <v>44</v>
      </c>
      <c r="F35" s="129"/>
      <c r="G35" s="80">
        <v>1</v>
      </c>
      <c r="H35" s="80">
        <v>1</v>
      </c>
      <c r="I35" s="81">
        <v>1</v>
      </c>
      <c r="J35" s="81">
        <v>1</v>
      </c>
      <c r="K35" s="81">
        <v>1</v>
      </c>
      <c r="L35" s="82">
        <v>0</v>
      </c>
      <c r="M35" s="81">
        <v>0</v>
      </c>
      <c r="N35" s="81">
        <v>0</v>
      </c>
      <c r="O35" s="81">
        <v>0</v>
      </c>
      <c r="P35" s="81">
        <v>0</v>
      </c>
      <c r="Q35" s="81">
        <v>0</v>
      </c>
      <c r="R35" s="81">
        <v>0</v>
      </c>
      <c r="S35" s="81">
        <v>0</v>
      </c>
      <c r="T35" s="81">
        <v>0</v>
      </c>
      <c r="U35" s="81">
        <v>0</v>
      </c>
      <c r="V35" s="81">
        <v>0</v>
      </c>
      <c r="W35" s="81">
        <v>0</v>
      </c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</row>
    <row r="36" spans="1:40" ht="16.5" customHeight="1" x14ac:dyDescent="0.3">
      <c r="A36" s="133"/>
      <c r="B36" s="125"/>
      <c r="C36" s="129" t="s">
        <v>240</v>
      </c>
      <c r="D36" s="129"/>
      <c r="E36" s="129" t="s">
        <v>45</v>
      </c>
      <c r="F36" s="129"/>
      <c r="G36" s="80">
        <v>2</v>
      </c>
      <c r="H36" s="80">
        <v>2</v>
      </c>
      <c r="I36" s="81">
        <v>2</v>
      </c>
      <c r="J36" s="81">
        <v>2</v>
      </c>
      <c r="K36" s="81">
        <v>2</v>
      </c>
      <c r="L36" s="82">
        <v>0</v>
      </c>
      <c r="M36" s="81">
        <v>0</v>
      </c>
      <c r="N36" s="81">
        <v>0</v>
      </c>
      <c r="O36" s="81">
        <v>0</v>
      </c>
      <c r="P36" s="81">
        <v>0</v>
      </c>
      <c r="Q36" s="81">
        <v>0</v>
      </c>
      <c r="R36" s="81">
        <v>0</v>
      </c>
      <c r="S36" s="81">
        <v>0</v>
      </c>
      <c r="T36" s="81">
        <v>0</v>
      </c>
      <c r="U36" s="81">
        <v>0</v>
      </c>
      <c r="V36" s="81">
        <v>0</v>
      </c>
      <c r="W36" s="81">
        <v>0</v>
      </c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</row>
    <row r="37" spans="1:40" ht="16.2" customHeight="1" x14ac:dyDescent="0.3">
      <c r="A37" s="133"/>
      <c r="B37" s="125"/>
      <c r="C37" s="129" t="s">
        <v>239</v>
      </c>
      <c r="D37" s="129"/>
      <c r="E37" s="129" t="s">
        <v>44</v>
      </c>
      <c r="F37" s="129"/>
      <c r="G37" s="80">
        <v>3</v>
      </c>
      <c r="H37" s="80">
        <v>2</v>
      </c>
      <c r="I37" s="81">
        <v>2</v>
      </c>
      <c r="J37" s="81">
        <v>2</v>
      </c>
      <c r="K37" s="81">
        <v>2</v>
      </c>
      <c r="L37" s="82">
        <v>0</v>
      </c>
      <c r="M37" s="81">
        <v>0</v>
      </c>
      <c r="N37" s="81">
        <v>0</v>
      </c>
      <c r="O37" s="81">
        <v>0</v>
      </c>
      <c r="P37" s="81">
        <v>0</v>
      </c>
      <c r="Q37" s="81">
        <v>0</v>
      </c>
      <c r="R37" s="81">
        <v>0</v>
      </c>
      <c r="S37" s="81">
        <v>0</v>
      </c>
      <c r="T37" s="81">
        <v>0</v>
      </c>
      <c r="U37" s="81">
        <v>0</v>
      </c>
      <c r="V37" s="81">
        <v>0</v>
      </c>
      <c r="W37" s="81">
        <v>0</v>
      </c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</row>
    <row r="38" spans="1:40" ht="16.5" customHeight="1" x14ac:dyDescent="0.3">
      <c r="A38" s="133"/>
      <c r="B38" s="125"/>
      <c r="C38" s="129" t="s">
        <v>238</v>
      </c>
      <c r="D38" s="129"/>
      <c r="E38" s="129" t="s">
        <v>279</v>
      </c>
      <c r="F38" s="129"/>
      <c r="G38" s="80">
        <v>3</v>
      </c>
      <c r="H38" s="80">
        <v>3</v>
      </c>
      <c r="I38" s="81">
        <v>3</v>
      </c>
      <c r="J38" s="81">
        <v>3</v>
      </c>
      <c r="K38" s="81">
        <v>3</v>
      </c>
      <c r="L38" s="82">
        <v>0</v>
      </c>
      <c r="M38" s="81">
        <v>0</v>
      </c>
      <c r="N38" s="81">
        <v>0</v>
      </c>
      <c r="O38" s="81">
        <v>0</v>
      </c>
      <c r="P38" s="81">
        <v>0</v>
      </c>
      <c r="Q38" s="81">
        <v>0</v>
      </c>
      <c r="R38" s="81">
        <v>0</v>
      </c>
      <c r="S38" s="81">
        <v>0</v>
      </c>
      <c r="T38" s="81">
        <v>0</v>
      </c>
      <c r="U38" s="81">
        <v>0</v>
      </c>
      <c r="V38" s="81">
        <v>0</v>
      </c>
      <c r="W38" s="81">
        <v>0</v>
      </c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</row>
    <row r="39" spans="1:40" ht="16.5" customHeight="1" x14ac:dyDescent="0.3">
      <c r="A39" s="133"/>
      <c r="B39" s="125"/>
      <c r="C39" s="129" t="s">
        <v>237</v>
      </c>
      <c r="D39" s="129"/>
      <c r="E39" s="129" t="s">
        <v>52</v>
      </c>
      <c r="F39" s="129"/>
      <c r="G39" s="80">
        <v>4</v>
      </c>
      <c r="H39" s="80">
        <v>2</v>
      </c>
      <c r="I39" s="81">
        <v>2</v>
      </c>
      <c r="J39" s="81">
        <v>2</v>
      </c>
      <c r="K39" s="81">
        <v>2</v>
      </c>
      <c r="L39" s="82">
        <v>0</v>
      </c>
      <c r="M39" s="81">
        <v>0</v>
      </c>
      <c r="N39" s="81">
        <v>0</v>
      </c>
      <c r="O39" s="81">
        <v>0</v>
      </c>
      <c r="P39" s="81">
        <v>0</v>
      </c>
      <c r="Q39" s="81">
        <v>0</v>
      </c>
      <c r="R39" s="81">
        <v>0</v>
      </c>
      <c r="S39" s="81">
        <v>0</v>
      </c>
      <c r="T39" s="81">
        <v>0</v>
      </c>
      <c r="U39" s="81">
        <v>0</v>
      </c>
      <c r="V39" s="81">
        <v>0</v>
      </c>
      <c r="W39" s="81">
        <v>0</v>
      </c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</row>
    <row r="40" spans="1:40" ht="16.5" customHeight="1" x14ac:dyDescent="0.3">
      <c r="A40" s="133"/>
      <c r="B40" s="125"/>
      <c r="C40" s="129"/>
      <c r="D40" s="129"/>
      <c r="E40" s="129"/>
      <c r="F40" s="129"/>
      <c r="G40" s="80"/>
      <c r="H40" s="80"/>
      <c r="I40" s="81"/>
      <c r="J40" s="81"/>
      <c r="K40" s="81"/>
      <c r="L40" s="84">
        <v>2</v>
      </c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</row>
    <row r="41" spans="1:40" ht="16.5" customHeight="1" x14ac:dyDescent="0.3">
      <c r="A41" s="133"/>
      <c r="B41" s="125"/>
      <c r="C41" s="129" t="s">
        <v>236</v>
      </c>
      <c r="D41" s="129"/>
      <c r="E41" s="129" t="s">
        <v>44</v>
      </c>
      <c r="F41" s="129"/>
      <c r="G41" s="80">
        <v>2</v>
      </c>
      <c r="H41" s="80">
        <v>2</v>
      </c>
      <c r="I41" s="81">
        <v>2</v>
      </c>
      <c r="J41" s="81">
        <v>2</v>
      </c>
      <c r="K41" s="81">
        <v>2</v>
      </c>
      <c r="L41" s="81">
        <v>2</v>
      </c>
      <c r="M41" s="82">
        <v>0</v>
      </c>
      <c r="N41" s="81">
        <v>0</v>
      </c>
      <c r="O41" s="81">
        <v>0</v>
      </c>
      <c r="P41" s="81">
        <v>0</v>
      </c>
      <c r="Q41" s="81">
        <v>0</v>
      </c>
      <c r="R41" s="81">
        <v>0</v>
      </c>
      <c r="S41" s="81">
        <v>0</v>
      </c>
      <c r="T41" s="81">
        <v>0</v>
      </c>
      <c r="U41" s="81">
        <v>0</v>
      </c>
      <c r="V41" s="81">
        <v>0</v>
      </c>
      <c r="W41" s="81">
        <v>0</v>
      </c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</row>
    <row r="42" spans="1:40" ht="16.5" customHeight="1" x14ac:dyDescent="0.3">
      <c r="A42" s="133"/>
      <c r="B42" s="125"/>
      <c r="C42" s="129" t="s">
        <v>235</v>
      </c>
      <c r="D42" s="129"/>
      <c r="E42" s="129" t="s">
        <v>104</v>
      </c>
      <c r="F42" s="129"/>
      <c r="G42" s="80">
        <v>2</v>
      </c>
      <c r="H42" s="80">
        <v>2</v>
      </c>
      <c r="I42" s="81">
        <v>2</v>
      </c>
      <c r="J42" s="81">
        <v>2</v>
      </c>
      <c r="K42" s="81">
        <v>2</v>
      </c>
      <c r="L42" s="81">
        <v>2</v>
      </c>
      <c r="M42" s="82">
        <v>0</v>
      </c>
      <c r="N42" s="81">
        <v>0</v>
      </c>
      <c r="O42" s="81">
        <v>0</v>
      </c>
      <c r="P42" s="81">
        <v>0</v>
      </c>
      <c r="Q42" s="81">
        <v>0</v>
      </c>
      <c r="R42" s="81">
        <v>0</v>
      </c>
      <c r="S42" s="81">
        <v>0</v>
      </c>
      <c r="T42" s="81">
        <v>0</v>
      </c>
      <c r="U42" s="81">
        <v>0</v>
      </c>
      <c r="V42" s="81">
        <v>0</v>
      </c>
      <c r="W42" s="81">
        <v>0</v>
      </c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</row>
    <row r="43" spans="1:40" ht="16.5" customHeight="1" x14ac:dyDescent="0.3">
      <c r="A43" s="133"/>
      <c r="B43" s="125"/>
      <c r="C43" s="129" t="s">
        <v>234</v>
      </c>
      <c r="D43" s="129"/>
      <c r="E43" s="129" t="s">
        <v>44</v>
      </c>
      <c r="F43" s="129"/>
      <c r="G43" s="80">
        <v>2</v>
      </c>
      <c r="H43" s="80">
        <v>2</v>
      </c>
      <c r="I43" s="81">
        <v>2</v>
      </c>
      <c r="J43" s="81">
        <v>2</v>
      </c>
      <c r="K43" s="81">
        <v>2</v>
      </c>
      <c r="L43" s="81">
        <v>2</v>
      </c>
      <c r="M43" s="82">
        <v>0</v>
      </c>
      <c r="N43" s="81">
        <v>0</v>
      </c>
      <c r="O43" s="81">
        <v>0</v>
      </c>
      <c r="P43" s="81">
        <v>0</v>
      </c>
      <c r="Q43" s="81">
        <v>0</v>
      </c>
      <c r="R43" s="81">
        <v>0</v>
      </c>
      <c r="S43" s="81">
        <v>0</v>
      </c>
      <c r="T43" s="81">
        <v>0</v>
      </c>
      <c r="U43" s="81">
        <v>0</v>
      </c>
      <c r="V43" s="81">
        <v>0</v>
      </c>
      <c r="W43" s="81">
        <v>0</v>
      </c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</row>
    <row r="44" spans="1:40" ht="16.5" customHeight="1" x14ac:dyDescent="0.3">
      <c r="A44" s="133"/>
      <c r="B44" s="125"/>
      <c r="C44" s="129" t="s">
        <v>259</v>
      </c>
      <c r="D44" s="129"/>
      <c r="E44" s="129" t="s">
        <v>46</v>
      </c>
      <c r="F44" s="129"/>
      <c r="G44" s="80">
        <v>1</v>
      </c>
      <c r="H44" s="80">
        <v>1</v>
      </c>
      <c r="I44" s="81">
        <v>1</v>
      </c>
      <c r="J44" s="81">
        <v>1</v>
      </c>
      <c r="K44" s="81">
        <v>1</v>
      </c>
      <c r="L44" s="81">
        <v>1</v>
      </c>
      <c r="M44" s="82">
        <v>0</v>
      </c>
      <c r="N44" s="81">
        <v>0</v>
      </c>
      <c r="O44" s="81">
        <v>0</v>
      </c>
      <c r="P44" s="81">
        <v>0</v>
      </c>
      <c r="Q44" s="81">
        <v>0</v>
      </c>
      <c r="R44" s="81">
        <v>0</v>
      </c>
      <c r="S44" s="81">
        <v>0</v>
      </c>
      <c r="T44" s="81">
        <v>0</v>
      </c>
      <c r="U44" s="81">
        <v>0</v>
      </c>
      <c r="V44" s="81">
        <v>0</v>
      </c>
      <c r="W44" s="81">
        <v>0</v>
      </c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</row>
    <row r="45" spans="1:40" ht="16.5" customHeight="1" x14ac:dyDescent="0.3">
      <c r="A45" s="133"/>
      <c r="B45" s="125"/>
      <c r="C45" s="129" t="s">
        <v>258</v>
      </c>
      <c r="D45" s="129"/>
      <c r="E45" s="129" t="s">
        <v>46</v>
      </c>
      <c r="F45" s="129"/>
      <c r="G45" s="80">
        <v>1</v>
      </c>
      <c r="H45" s="80">
        <v>1</v>
      </c>
      <c r="I45" s="81">
        <v>1</v>
      </c>
      <c r="J45" s="81">
        <v>1</v>
      </c>
      <c r="K45" s="81">
        <v>1</v>
      </c>
      <c r="L45" s="81">
        <v>1</v>
      </c>
      <c r="M45" s="82">
        <v>0</v>
      </c>
      <c r="N45" s="81">
        <v>0</v>
      </c>
      <c r="O45" s="81">
        <v>0</v>
      </c>
      <c r="P45" s="81">
        <v>0</v>
      </c>
      <c r="Q45" s="81">
        <v>0</v>
      </c>
      <c r="R45" s="81">
        <v>0</v>
      </c>
      <c r="S45" s="81">
        <v>0</v>
      </c>
      <c r="T45" s="81">
        <v>0</v>
      </c>
      <c r="U45" s="81">
        <v>0</v>
      </c>
      <c r="V45" s="81">
        <v>0</v>
      </c>
      <c r="W45" s="81">
        <v>0</v>
      </c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</row>
    <row r="46" spans="1:40" ht="16.5" customHeight="1" x14ac:dyDescent="0.3">
      <c r="A46" s="133"/>
      <c r="B46" s="125"/>
      <c r="C46" s="129" t="s">
        <v>260</v>
      </c>
      <c r="D46" s="129"/>
      <c r="E46" s="129" t="s">
        <v>46</v>
      </c>
      <c r="F46" s="129"/>
      <c r="G46" s="80">
        <v>1</v>
      </c>
      <c r="H46" s="80">
        <v>1</v>
      </c>
      <c r="I46" s="81">
        <v>1</v>
      </c>
      <c r="J46" s="81">
        <v>1</v>
      </c>
      <c r="K46" s="81">
        <v>1</v>
      </c>
      <c r="L46" s="81">
        <v>1</v>
      </c>
      <c r="M46" s="82">
        <v>0</v>
      </c>
      <c r="N46" s="81">
        <v>0</v>
      </c>
      <c r="O46" s="81">
        <v>0</v>
      </c>
      <c r="P46" s="81">
        <v>0</v>
      </c>
      <c r="Q46" s="81">
        <v>0</v>
      </c>
      <c r="R46" s="81">
        <v>0</v>
      </c>
      <c r="S46" s="81">
        <v>0</v>
      </c>
      <c r="T46" s="81">
        <v>0</v>
      </c>
      <c r="U46" s="81">
        <v>0</v>
      </c>
      <c r="V46" s="81">
        <v>0</v>
      </c>
      <c r="W46" s="81">
        <v>0</v>
      </c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</row>
    <row r="47" spans="1:40" ht="16.5" customHeight="1" x14ac:dyDescent="0.3">
      <c r="A47" s="133"/>
      <c r="B47" s="125" t="s">
        <v>47</v>
      </c>
      <c r="C47" s="129" t="s">
        <v>233</v>
      </c>
      <c r="D47" s="129"/>
      <c r="E47" s="129" t="s">
        <v>49</v>
      </c>
      <c r="F47" s="129"/>
      <c r="G47" s="80">
        <v>1</v>
      </c>
      <c r="H47" s="80">
        <v>1</v>
      </c>
      <c r="I47" s="81">
        <v>1</v>
      </c>
      <c r="J47" s="81">
        <v>1</v>
      </c>
      <c r="K47" s="81">
        <v>1</v>
      </c>
      <c r="L47" s="81">
        <v>1</v>
      </c>
      <c r="M47" s="81">
        <v>1</v>
      </c>
      <c r="N47" s="82">
        <v>0</v>
      </c>
      <c r="O47" s="81">
        <v>0</v>
      </c>
      <c r="P47" s="81">
        <v>0</v>
      </c>
      <c r="Q47" s="81">
        <v>0</v>
      </c>
      <c r="R47" s="81">
        <v>0</v>
      </c>
      <c r="S47" s="81">
        <v>0</v>
      </c>
      <c r="T47" s="81">
        <v>0</v>
      </c>
      <c r="U47" s="81">
        <v>0</v>
      </c>
      <c r="V47" s="81">
        <v>0</v>
      </c>
      <c r="W47" s="81">
        <v>0</v>
      </c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</row>
    <row r="48" spans="1:40" ht="16.5" customHeight="1" x14ac:dyDescent="0.3">
      <c r="A48" s="133"/>
      <c r="B48" s="125"/>
      <c r="C48" s="129" t="s">
        <v>232</v>
      </c>
      <c r="D48" s="129"/>
      <c r="E48" s="129" t="s">
        <v>49</v>
      </c>
      <c r="F48" s="129"/>
      <c r="G48" s="80">
        <v>1</v>
      </c>
      <c r="H48" s="80">
        <v>2</v>
      </c>
      <c r="I48" s="81">
        <v>2</v>
      </c>
      <c r="J48" s="81">
        <v>2</v>
      </c>
      <c r="K48" s="81">
        <v>2</v>
      </c>
      <c r="L48" s="81">
        <v>2</v>
      </c>
      <c r="M48" s="81">
        <v>2</v>
      </c>
      <c r="N48" s="82">
        <v>0</v>
      </c>
      <c r="O48" s="81">
        <v>0</v>
      </c>
      <c r="P48" s="81">
        <v>0</v>
      </c>
      <c r="Q48" s="81">
        <v>0</v>
      </c>
      <c r="R48" s="81">
        <v>0</v>
      </c>
      <c r="S48" s="81">
        <v>0</v>
      </c>
      <c r="T48" s="81">
        <v>0</v>
      </c>
      <c r="U48" s="81">
        <v>0</v>
      </c>
      <c r="V48" s="81">
        <v>0</v>
      </c>
      <c r="W48" s="81">
        <v>0</v>
      </c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</row>
    <row r="49" spans="1:40" ht="16.5" customHeight="1" x14ac:dyDescent="0.3">
      <c r="A49" s="133"/>
      <c r="B49" s="125"/>
      <c r="C49" s="129" t="s">
        <v>231</v>
      </c>
      <c r="D49" s="129"/>
      <c r="E49" s="129" t="s">
        <v>52</v>
      </c>
      <c r="F49" s="129"/>
      <c r="G49" s="80">
        <v>2</v>
      </c>
      <c r="H49" s="80">
        <v>2</v>
      </c>
      <c r="I49" s="81">
        <v>2</v>
      </c>
      <c r="J49" s="81">
        <v>2</v>
      </c>
      <c r="K49" s="81">
        <v>2</v>
      </c>
      <c r="L49" s="81">
        <v>2</v>
      </c>
      <c r="M49" s="81">
        <v>2</v>
      </c>
      <c r="N49" s="82">
        <v>0</v>
      </c>
      <c r="O49" s="81">
        <v>0</v>
      </c>
      <c r="P49" s="81">
        <v>0</v>
      </c>
      <c r="Q49" s="81">
        <v>0</v>
      </c>
      <c r="R49" s="81">
        <v>0</v>
      </c>
      <c r="S49" s="81">
        <v>0</v>
      </c>
      <c r="T49" s="81">
        <v>0</v>
      </c>
      <c r="U49" s="81">
        <v>0</v>
      </c>
      <c r="V49" s="81">
        <v>0</v>
      </c>
      <c r="W49" s="81">
        <v>0</v>
      </c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</row>
    <row r="50" spans="1:40" ht="16.5" customHeight="1" x14ac:dyDescent="0.3">
      <c r="A50" s="133"/>
      <c r="B50" s="125"/>
      <c r="C50" s="129" t="s">
        <v>230</v>
      </c>
      <c r="D50" s="129"/>
      <c r="E50" s="129" t="s">
        <v>104</v>
      </c>
      <c r="F50" s="129"/>
      <c r="G50" s="80">
        <v>1</v>
      </c>
      <c r="H50" s="80">
        <v>1</v>
      </c>
      <c r="I50" s="81">
        <v>1</v>
      </c>
      <c r="J50" s="81">
        <v>1</v>
      </c>
      <c r="K50" s="81">
        <v>1</v>
      </c>
      <c r="L50" s="81">
        <v>1</v>
      </c>
      <c r="M50" s="81">
        <v>1</v>
      </c>
      <c r="N50" s="82">
        <v>0</v>
      </c>
      <c r="O50" s="81">
        <v>0</v>
      </c>
      <c r="P50" s="81">
        <v>0</v>
      </c>
      <c r="Q50" s="81">
        <v>0</v>
      </c>
      <c r="R50" s="81">
        <v>0</v>
      </c>
      <c r="S50" s="81">
        <v>0</v>
      </c>
      <c r="T50" s="81">
        <v>0</v>
      </c>
      <c r="U50" s="81">
        <v>0</v>
      </c>
      <c r="V50" s="81">
        <v>0</v>
      </c>
      <c r="W50" s="81">
        <v>0</v>
      </c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</row>
    <row r="51" spans="1:40" ht="16.5" customHeight="1" x14ac:dyDescent="0.3">
      <c r="A51" s="133"/>
      <c r="B51" s="125"/>
      <c r="C51" s="129" t="s">
        <v>229</v>
      </c>
      <c r="D51" s="129"/>
      <c r="E51" s="129" t="s">
        <v>104</v>
      </c>
      <c r="F51" s="129"/>
      <c r="G51" s="80">
        <v>1</v>
      </c>
      <c r="H51" s="80">
        <v>2</v>
      </c>
      <c r="I51" s="81">
        <v>2</v>
      </c>
      <c r="J51" s="81">
        <v>2</v>
      </c>
      <c r="K51" s="81">
        <v>2</v>
      </c>
      <c r="L51" s="81">
        <v>2</v>
      </c>
      <c r="M51" s="81">
        <v>2</v>
      </c>
      <c r="N51" s="82">
        <v>0</v>
      </c>
      <c r="O51" s="81">
        <v>0</v>
      </c>
      <c r="P51" s="81">
        <v>0</v>
      </c>
      <c r="Q51" s="81">
        <v>0</v>
      </c>
      <c r="R51" s="81">
        <v>0</v>
      </c>
      <c r="S51" s="81">
        <v>0</v>
      </c>
      <c r="T51" s="81">
        <v>0</v>
      </c>
      <c r="U51" s="81">
        <v>0</v>
      </c>
      <c r="V51" s="81">
        <v>0</v>
      </c>
      <c r="W51" s="81">
        <v>0</v>
      </c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</row>
    <row r="52" spans="1:40" ht="16.5" customHeight="1" x14ac:dyDescent="0.3">
      <c r="A52" s="133"/>
      <c r="B52" s="125"/>
      <c r="C52" s="80"/>
      <c r="D52" s="80"/>
      <c r="E52" s="80"/>
      <c r="F52" s="80"/>
      <c r="G52" s="80"/>
      <c r="H52" s="80"/>
      <c r="I52" s="81"/>
      <c r="J52" s="81"/>
      <c r="K52" s="81"/>
      <c r="L52" s="81"/>
      <c r="M52" s="81"/>
      <c r="N52" s="85">
        <v>1</v>
      </c>
      <c r="O52" s="81"/>
      <c r="P52" s="81"/>
      <c r="Q52" s="81"/>
      <c r="R52" s="81"/>
      <c r="S52" s="81"/>
      <c r="T52" s="81"/>
      <c r="U52" s="81"/>
      <c r="V52" s="81"/>
      <c r="W52" s="81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</row>
    <row r="53" spans="1:40" ht="16.5" customHeight="1" x14ac:dyDescent="0.3">
      <c r="A53" s="133"/>
      <c r="B53" s="125"/>
      <c r="C53" s="129" t="s">
        <v>228</v>
      </c>
      <c r="D53" s="129"/>
      <c r="E53" s="129" t="s">
        <v>104</v>
      </c>
      <c r="F53" s="129"/>
      <c r="G53" s="80">
        <v>3</v>
      </c>
      <c r="H53" s="80">
        <v>3</v>
      </c>
      <c r="I53" s="81">
        <v>3</v>
      </c>
      <c r="J53" s="81">
        <v>3</v>
      </c>
      <c r="K53" s="81">
        <v>3</v>
      </c>
      <c r="L53" s="81">
        <v>3</v>
      </c>
      <c r="M53" s="81">
        <v>3</v>
      </c>
      <c r="N53" s="82">
        <v>0</v>
      </c>
      <c r="O53" s="81">
        <v>0</v>
      </c>
      <c r="P53" s="81">
        <v>0</v>
      </c>
      <c r="Q53" s="81">
        <v>0</v>
      </c>
      <c r="R53" s="81">
        <v>0</v>
      </c>
      <c r="S53" s="81">
        <v>0</v>
      </c>
      <c r="T53" s="81">
        <v>0</v>
      </c>
      <c r="U53" s="81">
        <v>0</v>
      </c>
      <c r="V53" s="81">
        <v>0</v>
      </c>
      <c r="W53" s="81">
        <v>0</v>
      </c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</row>
    <row r="54" spans="1:40" ht="16.5" customHeight="1" x14ac:dyDescent="0.3">
      <c r="A54" s="133"/>
      <c r="B54" s="125"/>
      <c r="C54" s="129" t="s">
        <v>227</v>
      </c>
      <c r="D54" s="129"/>
      <c r="E54" s="129" t="s">
        <v>45</v>
      </c>
      <c r="F54" s="129"/>
      <c r="G54" s="80">
        <v>1</v>
      </c>
      <c r="H54" s="80">
        <v>1</v>
      </c>
      <c r="I54" s="81">
        <v>1</v>
      </c>
      <c r="J54" s="81">
        <v>1</v>
      </c>
      <c r="K54" s="81">
        <v>1</v>
      </c>
      <c r="L54" s="81">
        <v>1</v>
      </c>
      <c r="M54" s="81">
        <v>1</v>
      </c>
      <c r="N54" s="82">
        <v>0</v>
      </c>
      <c r="O54" s="81">
        <v>0</v>
      </c>
      <c r="P54" s="81">
        <v>0</v>
      </c>
      <c r="Q54" s="81">
        <v>0</v>
      </c>
      <c r="R54" s="81">
        <v>0</v>
      </c>
      <c r="S54" s="81">
        <v>0</v>
      </c>
      <c r="T54" s="81">
        <v>0</v>
      </c>
      <c r="U54" s="81">
        <v>0</v>
      </c>
      <c r="V54" s="81">
        <v>0</v>
      </c>
      <c r="W54" s="81">
        <v>0</v>
      </c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</row>
    <row r="55" spans="1:40" ht="16.5" customHeight="1" x14ac:dyDescent="0.3">
      <c r="A55" s="133"/>
      <c r="B55" s="125"/>
      <c r="C55" s="129" t="s">
        <v>226</v>
      </c>
      <c r="D55" s="129"/>
      <c r="E55" s="129" t="s">
        <v>45</v>
      </c>
      <c r="F55" s="129"/>
      <c r="G55" s="80">
        <v>3</v>
      </c>
      <c r="H55" s="80">
        <v>3</v>
      </c>
      <c r="I55" s="81">
        <v>3</v>
      </c>
      <c r="J55" s="81">
        <v>3</v>
      </c>
      <c r="K55" s="81">
        <v>3</v>
      </c>
      <c r="L55" s="81">
        <v>3</v>
      </c>
      <c r="M55" s="81">
        <v>3</v>
      </c>
      <c r="N55" s="82">
        <v>0</v>
      </c>
      <c r="O55" s="81">
        <v>0</v>
      </c>
      <c r="P55" s="81">
        <v>0</v>
      </c>
      <c r="Q55" s="81">
        <v>0</v>
      </c>
      <c r="R55" s="81">
        <v>0</v>
      </c>
      <c r="S55" s="81">
        <v>0</v>
      </c>
      <c r="T55" s="81">
        <v>0</v>
      </c>
      <c r="U55" s="81">
        <v>0</v>
      </c>
      <c r="V55" s="81">
        <v>0</v>
      </c>
      <c r="W55" s="81">
        <v>0</v>
      </c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</row>
    <row r="56" spans="1:40" ht="16.5" customHeight="1" x14ac:dyDescent="0.3">
      <c r="A56" s="133"/>
      <c r="B56" s="125"/>
      <c r="C56" s="129" t="s">
        <v>225</v>
      </c>
      <c r="D56" s="129"/>
      <c r="E56" s="129" t="s">
        <v>45</v>
      </c>
      <c r="F56" s="129"/>
      <c r="G56" s="80">
        <v>3</v>
      </c>
      <c r="H56" s="80">
        <v>3</v>
      </c>
      <c r="I56" s="81">
        <v>3</v>
      </c>
      <c r="J56" s="81">
        <v>3</v>
      </c>
      <c r="K56" s="81">
        <v>3</v>
      </c>
      <c r="L56" s="81">
        <v>3</v>
      </c>
      <c r="M56" s="81">
        <v>3</v>
      </c>
      <c r="N56" s="81">
        <v>3</v>
      </c>
      <c r="O56" s="82">
        <v>0</v>
      </c>
      <c r="P56" s="81">
        <v>0</v>
      </c>
      <c r="Q56" s="81">
        <v>0</v>
      </c>
      <c r="R56" s="81">
        <v>0</v>
      </c>
      <c r="S56" s="81">
        <v>0</v>
      </c>
      <c r="T56" s="81">
        <v>0</v>
      </c>
      <c r="U56" s="81">
        <v>0</v>
      </c>
      <c r="V56" s="81">
        <v>0</v>
      </c>
      <c r="W56" s="81">
        <v>0</v>
      </c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</row>
    <row r="57" spans="1:40" ht="16.5" customHeight="1" x14ac:dyDescent="0.3">
      <c r="A57" s="133"/>
      <c r="B57" s="125"/>
      <c r="C57" s="129" t="s">
        <v>224</v>
      </c>
      <c r="D57" s="129"/>
      <c r="E57" s="129" t="s">
        <v>49</v>
      </c>
      <c r="F57" s="129"/>
      <c r="G57" s="80">
        <v>1</v>
      </c>
      <c r="H57" s="80">
        <v>1</v>
      </c>
      <c r="I57" s="81">
        <v>1</v>
      </c>
      <c r="J57" s="81">
        <v>1</v>
      </c>
      <c r="K57" s="81">
        <v>1</v>
      </c>
      <c r="L57" s="81">
        <v>1</v>
      </c>
      <c r="M57" s="81">
        <v>1</v>
      </c>
      <c r="N57" s="81">
        <v>1</v>
      </c>
      <c r="O57" s="82">
        <v>0</v>
      </c>
      <c r="P57" s="81">
        <v>0</v>
      </c>
      <c r="Q57" s="81">
        <v>0</v>
      </c>
      <c r="R57" s="81">
        <v>0</v>
      </c>
      <c r="S57" s="81">
        <v>0</v>
      </c>
      <c r="T57" s="81">
        <v>0</v>
      </c>
      <c r="U57" s="81">
        <v>0</v>
      </c>
      <c r="V57" s="81">
        <v>0</v>
      </c>
      <c r="W57" s="81">
        <v>0</v>
      </c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</row>
    <row r="58" spans="1:40" ht="16.5" customHeight="1" x14ac:dyDescent="0.3">
      <c r="A58" s="133"/>
      <c r="B58" s="125"/>
      <c r="C58" s="129" t="s">
        <v>223</v>
      </c>
      <c r="D58" s="129"/>
      <c r="E58" s="129" t="s">
        <v>49</v>
      </c>
      <c r="F58" s="129"/>
      <c r="G58" s="80">
        <v>1</v>
      </c>
      <c r="H58" s="80">
        <v>2</v>
      </c>
      <c r="I58" s="81">
        <v>2</v>
      </c>
      <c r="J58" s="81">
        <v>2</v>
      </c>
      <c r="K58" s="81">
        <v>2</v>
      </c>
      <c r="L58" s="81">
        <v>2</v>
      </c>
      <c r="M58" s="81">
        <v>2</v>
      </c>
      <c r="N58" s="81">
        <v>2</v>
      </c>
      <c r="O58" s="82">
        <v>0</v>
      </c>
      <c r="P58" s="81">
        <v>0</v>
      </c>
      <c r="Q58" s="81">
        <v>0</v>
      </c>
      <c r="R58" s="81">
        <v>0</v>
      </c>
      <c r="S58" s="81">
        <v>0</v>
      </c>
      <c r="T58" s="81">
        <v>0</v>
      </c>
      <c r="U58" s="81">
        <v>0</v>
      </c>
      <c r="V58" s="81">
        <v>0</v>
      </c>
      <c r="W58" s="81">
        <v>0</v>
      </c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</row>
    <row r="59" spans="1:40" ht="16.5" customHeight="1" x14ac:dyDescent="0.3">
      <c r="A59" s="133"/>
      <c r="B59" s="125"/>
      <c r="C59" s="129" t="s">
        <v>222</v>
      </c>
      <c r="D59" s="129"/>
      <c r="E59" s="129" t="s">
        <v>52</v>
      </c>
      <c r="F59" s="129"/>
      <c r="G59" s="80">
        <v>2</v>
      </c>
      <c r="H59" s="80">
        <v>2</v>
      </c>
      <c r="I59" s="81">
        <v>2</v>
      </c>
      <c r="J59" s="81">
        <v>2</v>
      </c>
      <c r="K59" s="81">
        <v>2</v>
      </c>
      <c r="L59" s="81">
        <v>2</v>
      </c>
      <c r="M59" s="81">
        <v>2</v>
      </c>
      <c r="N59" s="81">
        <v>2</v>
      </c>
      <c r="O59" s="82">
        <v>0</v>
      </c>
      <c r="P59" s="81">
        <v>0</v>
      </c>
      <c r="Q59" s="81">
        <v>0</v>
      </c>
      <c r="R59" s="81">
        <v>0</v>
      </c>
      <c r="S59" s="81">
        <v>0</v>
      </c>
      <c r="T59" s="81">
        <v>0</v>
      </c>
      <c r="U59" s="81">
        <v>0</v>
      </c>
      <c r="V59" s="81">
        <v>0</v>
      </c>
      <c r="W59" s="81">
        <v>0</v>
      </c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</row>
    <row r="60" spans="1:40" ht="16.5" customHeight="1" x14ac:dyDescent="0.3">
      <c r="A60" s="133"/>
      <c r="B60" s="125"/>
      <c r="C60" s="129" t="s">
        <v>221</v>
      </c>
      <c r="D60" s="129"/>
      <c r="E60" s="129" t="s">
        <v>49</v>
      </c>
      <c r="F60" s="129"/>
      <c r="G60" s="80">
        <v>1</v>
      </c>
      <c r="H60" s="80">
        <v>1</v>
      </c>
      <c r="I60" s="81">
        <v>1</v>
      </c>
      <c r="J60" s="81">
        <v>1</v>
      </c>
      <c r="K60" s="81">
        <v>1</v>
      </c>
      <c r="L60" s="81">
        <v>1</v>
      </c>
      <c r="M60" s="81">
        <v>1</v>
      </c>
      <c r="N60" s="81">
        <v>1</v>
      </c>
      <c r="O60" s="82">
        <v>0</v>
      </c>
      <c r="P60" s="81">
        <v>0</v>
      </c>
      <c r="Q60" s="81">
        <v>0</v>
      </c>
      <c r="R60" s="81">
        <v>0</v>
      </c>
      <c r="S60" s="81">
        <v>0</v>
      </c>
      <c r="T60" s="81">
        <v>0</v>
      </c>
      <c r="U60" s="81">
        <v>0</v>
      </c>
      <c r="V60" s="81">
        <v>0</v>
      </c>
      <c r="W60" s="81">
        <v>0</v>
      </c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</row>
    <row r="61" spans="1:40" ht="16.5" customHeight="1" x14ac:dyDescent="0.3">
      <c r="A61" s="133"/>
      <c r="B61" s="125"/>
      <c r="C61" s="129" t="s">
        <v>220</v>
      </c>
      <c r="D61" s="129"/>
      <c r="E61" s="129" t="s">
        <v>49</v>
      </c>
      <c r="F61" s="129"/>
      <c r="G61" s="80">
        <v>4</v>
      </c>
      <c r="H61" s="80">
        <v>2</v>
      </c>
      <c r="I61" s="81">
        <v>2</v>
      </c>
      <c r="J61" s="81">
        <v>2</v>
      </c>
      <c r="K61" s="81">
        <v>2</v>
      </c>
      <c r="L61" s="81">
        <v>2</v>
      </c>
      <c r="M61" s="81">
        <v>2</v>
      </c>
      <c r="N61" s="81">
        <v>2</v>
      </c>
      <c r="O61" s="82">
        <v>0</v>
      </c>
      <c r="P61" s="81">
        <v>0</v>
      </c>
      <c r="Q61" s="81">
        <v>0</v>
      </c>
      <c r="R61" s="81">
        <v>0</v>
      </c>
      <c r="S61" s="81">
        <v>0</v>
      </c>
      <c r="T61" s="81">
        <v>0</v>
      </c>
      <c r="U61" s="81">
        <v>0</v>
      </c>
      <c r="V61" s="81">
        <v>0</v>
      </c>
      <c r="W61" s="81">
        <v>0</v>
      </c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</row>
    <row r="62" spans="1:40" ht="16.5" customHeight="1" x14ac:dyDescent="0.3">
      <c r="A62" s="133"/>
      <c r="B62" s="125"/>
      <c r="C62" s="129"/>
      <c r="D62" s="129"/>
      <c r="E62" s="129"/>
      <c r="F62" s="129"/>
      <c r="G62" s="80"/>
      <c r="H62" s="80"/>
      <c r="I62" s="81"/>
      <c r="J62" s="81"/>
      <c r="K62" s="81"/>
      <c r="L62" s="81"/>
      <c r="M62" s="81"/>
      <c r="N62" s="81"/>
      <c r="O62" s="84">
        <v>2</v>
      </c>
      <c r="P62" s="81"/>
      <c r="Q62" s="81"/>
      <c r="R62" s="81"/>
      <c r="S62" s="81"/>
      <c r="T62" s="81"/>
      <c r="U62" s="81"/>
      <c r="V62" s="81"/>
      <c r="W62" s="81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</row>
    <row r="63" spans="1:40" ht="16.5" customHeight="1" x14ac:dyDescent="0.3">
      <c r="A63" s="133"/>
      <c r="B63" s="125"/>
      <c r="C63" s="129" t="s">
        <v>219</v>
      </c>
      <c r="D63" s="129"/>
      <c r="E63" s="129" t="s">
        <v>52</v>
      </c>
      <c r="F63" s="129"/>
      <c r="G63" s="80">
        <v>4</v>
      </c>
      <c r="H63" s="80">
        <v>2</v>
      </c>
      <c r="I63" s="81">
        <v>2</v>
      </c>
      <c r="J63" s="81">
        <v>2</v>
      </c>
      <c r="K63" s="81">
        <v>2</v>
      </c>
      <c r="L63" s="81">
        <v>2</v>
      </c>
      <c r="M63" s="81">
        <v>2</v>
      </c>
      <c r="N63" s="81">
        <v>2</v>
      </c>
      <c r="O63" s="82">
        <v>0</v>
      </c>
      <c r="P63" s="81">
        <v>0</v>
      </c>
      <c r="Q63" s="81">
        <v>0</v>
      </c>
      <c r="R63" s="81">
        <v>0</v>
      </c>
      <c r="S63" s="81">
        <v>0</v>
      </c>
      <c r="T63" s="81">
        <v>0</v>
      </c>
      <c r="U63" s="81">
        <v>0</v>
      </c>
      <c r="V63" s="81">
        <v>0</v>
      </c>
      <c r="W63" s="81">
        <v>0</v>
      </c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</row>
    <row r="64" spans="1:40" ht="16.5" customHeight="1" x14ac:dyDescent="0.3">
      <c r="A64" s="133"/>
      <c r="B64" s="125"/>
      <c r="C64" s="129"/>
      <c r="D64" s="129"/>
      <c r="E64" s="129"/>
      <c r="F64" s="129"/>
      <c r="G64" s="80"/>
      <c r="H64" s="80"/>
      <c r="I64" s="81"/>
      <c r="J64" s="81"/>
      <c r="K64" s="81"/>
      <c r="L64" s="81"/>
      <c r="M64" s="81"/>
      <c r="N64" s="81"/>
      <c r="O64" s="84">
        <v>2</v>
      </c>
      <c r="P64" s="81"/>
      <c r="Q64" s="81"/>
      <c r="R64" s="81"/>
      <c r="S64" s="81"/>
      <c r="T64" s="81"/>
      <c r="U64" s="81"/>
      <c r="V64" s="81"/>
      <c r="W64" s="81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</row>
    <row r="65" spans="1:40" ht="16.5" customHeight="1" x14ac:dyDescent="0.3">
      <c r="A65" s="133"/>
      <c r="B65" s="125"/>
      <c r="C65" s="129" t="s">
        <v>218</v>
      </c>
      <c r="D65" s="129"/>
      <c r="E65" s="129" t="s">
        <v>52</v>
      </c>
      <c r="F65" s="129"/>
      <c r="G65" s="80">
        <v>1</v>
      </c>
      <c r="H65" s="80">
        <v>1</v>
      </c>
      <c r="I65" s="81">
        <v>1</v>
      </c>
      <c r="J65" s="81">
        <v>1</v>
      </c>
      <c r="K65" s="81">
        <v>1</v>
      </c>
      <c r="L65" s="81">
        <v>1</v>
      </c>
      <c r="M65" s="81">
        <v>1</v>
      </c>
      <c r="N65" s="81">
        <v>1</v>
      </c>
      <c r="O65" s="81">
        <v>1</v>
      </c>
      <c r="P65" s="82">
        <v>0</v>
      </c>
      <c r="Q65" s="81">
        <v>0</v>
      </c>
      <c r="R65" s="81">
        <v>0</v>
      </c>
      <c r="S65" s="81">
        <v>0</v>
      </c>
      <c r="T65" s="81">
        <v>0</v>
      </c>
      <c r="U65" s="81">
        <v>0</v>
      </c>
      <c r="V65" s="81">
        <v>0</v>
      </c>
      <c r="W65" s="81">
        <v>0</v>
      </c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</row>
    <row r="66" spans="1:40" ht="16.5" customHeight="1" x14ac:dyDescent="0.3">
      <c r="A66" s="133"/>
      <c r="B66" s="125"/>
      <c r="C66" s="129" t="s">
        <v>217</v>
      </c>
      <c r="D66" s="129"/>
      <c r="E66" s="129" t="s">
        <v>52</v>
      </c>
      <c r="F66" s="129"/>
      <c r="G66" s="80">
        <v>2</v>
      </c>
      <c r="H66" s="80">
        <v>2</v>
      </c>
      <c r="I66" s="81">
        <v>2</v>
      </c>
      <c r="J66" s="81">
        <v>2</v>
      </c>
      <c r="K66" s="81">
        <v>2</v>
      </c>
      <c r="L66" s="81">
        <v>2</v>
      </c>
      <c r="M66" s="81">
        <v>2</v>
      </c>
      <c r="N66" s="81">
        <v>2</v>
      </c>
      <c r="O66" s="81">
        <v>2</v>
      </c>
      <c r="P66" s="82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</row>
    <row r="67" spans="1:40" ht="16.5" customHeight="1" x14ac:dyDescent="0.3">
      <c r="A67" s="133"/>
      <c r="B67" s="125"/>
      <c r="C67" s="129" t="s">
        <v>216</v>
      </c>
      <c r="D67" s="129"/>
      <c r="E67" s="129" t="s">
        <v>52</v>
      </c>
      <c r="F67" s="129"/>
      <c r="G67" s="80">
        <v>2</v>
      </c>
      <c r="H67" s="80">
        <v>1</v>
      </c>
      <c r="I67" s="81">
        <v>1</v>
      </c>
      <c r="J67" s="81">
        <v>1</v>
      </c>
      <c r="K67" s="81">
        <v>1</v>
      </c>
      <c r="L67" s="81">
        <v>1</v>
      </c>
      <c r="M67" s="81">
        <v>1</v>
      </c>
      <c r="N67" s="81">
        <v>1</v>
      </c>
      <c r="O67" s="81">
        <v>1</v>
      </c>
      <c r="P67" s="82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</row>
    <row r="68" spans="1:40" ht="16.5" customHeight="1" x14ac:dyDescent="0.3">
      <c r="A68" s="133"/>
      <c r="B68" s="125"/>
      <c r="C68" s="129" t="s">
        <v>215</v>
      </c>
      <c r="D68" s="129"/>
      <c r="E68" s="129" t="s">
        <v>49</v>
      </c>
      <c r="F68" s="129"/>
      <c r="G68" s="80">
        <v>1</v>
      </c>
      <c r="H68" s="80">
        <v>1</v>
      </c>
      <c r="I68" s="81">
        <v>1</v>
      </c>
      <c r="J68" s="81">
        <v>1</v>
      </c>
      <c r="K68" s="81">
        <v>1</v>
      </c>
      <c r="L68" s="81">
        <v>1</v>
      </c>
      <c r="M68" s="81">
        <v>1</v>
      </c>
      <c r="N68" s="81">
        <v>1</v>
      </c>
      <c r="O68" s="81">
        <v>1</v>
      </c>
      <c r="P68" s="81">
        <v>1</v>
      </c>
      <c r="Q68" s="82">
        <v>0</v>
      </c>
      <c r="R68" s="81">
        <v>0</v>
      </c>
      <c r="S68" s="81">
        <v>0</v>
      </c>
      <c r="T68" s="81">
        <v>0</v>
      </c>
      <c r="U68" s="81">
        <v>0</v>
      </c>
      <c r="V68" s="81">
        <v>0</v>
      </c>
      <c r="W68" s="81">
        <v>0</v>
      </c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</row>
    <row r="69" spans="1:40" ht="16.5" customHeight="1" x14ac:dyDescent="0.3">
      <c r="A69" s="133"/>
      <c r="B69" s="125"/>
      <c r="C69" s="129" t="s">
        <v>214</v>
      </c>
      <c r="D69" s="129"/>
      <c r="E69" s="129" t="s">
        <v>49</v>
      </c>
      <c r="F69" s="129"/>
      <c r="G69" s="80">
        <v>1</v>
      </c>
      <c r="H69" s="80">
        <v>2</v>
      </c>
      <c r="I69" s="81">
        <v>2</v>
      </c>
      <c r="J69" s="81">
        <v>2</v>
      </c>
      <c r="K69" s="81">
        <v>2</v>
      </c>
      <c r="L69" s="81">
        <v>2</v>
      </c>
      <c r="M69" s="81">
        <v>2</v>
      </c>
      <c r="N69" s="81">
        <v>2</v>
      </c>
      <c r="O69" s="81">
        <v>2</v>
      </c>
      <c r="P69" s="81">
        <v>2</v>
      </c>
      <c r="Q69" s="82">
        <v>0</v>
      </c>
      <c r="R69" s="81">
        <v>0</v>
      </c>
      <c r="S69" s="81">
        <v>0</v>
      </c>
      <c r="T69" s="81">
        <v>0</v>
      </c>
      <c r="U69" s="81">
        <v>0</v>
      </c>
      <c r="V69" s="81">
        <v>0</v>
      </c>
      <c r="W69" s="81">
        <v>0</v>
      </c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</row>
    <row r="70" spans="1:40" ht="16.5" customHeight="1" x14ac:dyDescent="0.3">
      <c r="A70" s="133"/>
      <c r="B70" s="125"/>
      <c r="C70" s="80"/>
      <c r="D70" s="80"/>
      <c r="E70" s="80"/>
      <c r="F70" s="80"/>
      <c r="G70" s="80"/>
      <c r="H70" s="80"/>
      <c r="I70" s="81"/>
      <c r="J70" s="81"/>
      <c r="K70" s="81"/>
      <c r="L70" s="81"/>
      <c r="M70" s="81"/>
      <c r="N70" s="81"/>
      <c r="O70" s="81"/>
      <c r="P70" s="81"/>
      <c r="Q70" s="85">
        <v>1</v>
      </c>
      <c r="R70" s="81"/>
      <c r="S70" s="81"/>
      <c r="T70" s="81"/>
      <c r="U70" s="81"/>
      <c r="V70" s="81"/>
      <c r="W70" s="81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</row>
    <row r="71" spans="1:40" ht="16.5" customHeight="1" x14ac:dyDescent="0.3">
      <c r="A71" s="133"/>
      <c r="B71" s="125"/>
      <c r="C71" s="129" t="s">
        <v>213</v>
      </c>
      <c r="D71" s="129"/>
      <c r="E71" s="129" t="s">
        <v>49</v>
      </c>
      <c r="F71" s="129"/>
      <c r="G71" s="80">
        <v>2</v>
      </c>
      <c r="H71" s="80">
        <v>3</v>
      </c>
      <c r="I71" s="81">
        <v>3</v>
      </c>
      <c r="J71" s="81">
        <v>3</v>
      </c>
      <c r="K71" s="81">
        <v>3</v>
      </c>
      <c r="L71" s="81">
        <v>3</v>
      </c>
      <c r="M71" s="81">
        <v>3</v>
      </c>
      <c r="N71" s="81">
        <v>3</v>
      </c>
      <c r="O71" s="81">
        <v>3</v>
      </c>
      <c r="P71" s="81">
        <v>3</v>
      </c>
      <c r="Q71" s="82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</row>
    <row r="72" spans="1:40" ht="16.5" customHeight="1" x14ac:dyDescent="0.3">
      <c r="A72" s="133"/>
      <c r="B72" s="125"/>
      <c r="C72" s="80"/>
      <c r="D72" s="80"/>
      <c r="E72" s="80"/>
      <c r="F72" s="80"/>
      <c r="G72" s="80"/>
      <c r="H72" s="80"/>
      <c r="I72" s="81"/>
      <c r="J72" s="81"/>
      <c r="K72" s="81"/>
      <c r="L72" s="81"/>
      <c r="M72" s="81"/>
      <c r="N72" s="81"/>
      <c r="O72" s="81"/>
      <c r="P72" s="81"/>
      <c r="Q72" s="85">
        <v>1</v>
      </c>
      <c r="R72" s="81"/>
      <c r="S72" s="81"/>
      <c r="T72" s="81"/>
      <c r="U72" s="81"/>
      <c r="V72" s="81"/>
      <c r="W72" s="81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</row>
    <row r="73" spans="1:40" ht="16.5" customHeight="1" x14ac:dyDescent="0.3">
      <c r="A73" s="133"/>
      <c r="B73" s="125"/>
      <c r="C73" s="129" t="s">
        <v>212</v>
      </c>
      <c r="D73" s="129"/>
      <c r="E73" s="129" t="s">
        <v>52</v>
      </c>
      <c r="F73" s="129"/>
      <c r="G73" s="80">
        <v>1</v>
      </c>
      <c r="H73" s="80">
        <v>1</v>
      </c>
      <c r="I73" s="81">
        <v>1</v>
      </c>
      <c r="J73" s="81">
        <v>1</v>
      </c>
      <c r="K73" s="81">
        <v>1</v>
      </c>
      <c r="L73" s="81">
        <v>1</v>
      </c>
      <c r="M73" s="81">
        <v>1</v>
      </c>
      <c r="N73" s="81">
        <v>1</v>
      </c>
      <c r="O73" s="81">
        <v>1</v>
      </c>
      <c r="P73" s="81">
        <v>1</v>
      </c>
      <c r="Q73" s="82">
        <v>0</v>
      </c>
      <c r="R73" s="81">
        <v>0</v>
      </c>
      <c r="S73" s="81">
        <v>0</v>
      </c>
      <c r="T73" s="81">
        <v>0</v>
      </c>
      <c r="U73" s="81">
        <v>0</v>
      </c>
      <c r="V73" s="81">
        <v>0</v>
      </c>
      <c r="W73" s="81">
        <v>0</v>
      </c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</row>
    <row r="74" spans="1:40" ht="16.5" customHeight="1" x14ac:dyDescent="0.3">
      <c r="A74" s="133"/>
      <c r="B74" s="125"/>
      <c r="C74" s="129" t="s">
        <v>211</v>
      </c>
      <c r="D74" s="129"/>
      <c r="E74" s="129" t="s">
        <v>52</v>
      </c>
      <c r="F74" s="129"/>
      <c r="G74" s="80">
        <v>1</v>
      </c>
      <c r="H74" s="80">
        <v>2</v>
      </c>
      <c r="I74" s="81">
        <v>2</v>
      </c>
      <c r="J74" s="81">
        <v>2</v>
      </c>
      <c r="K74" s="81">
        <v>2</v>
      </c>
      <c r="L74" s="81">
        <v>2</v>
      </c>
      <c r="M74" s="81">
        <v>2</v>
      </c>
      <c r="N74" s="81">
        <v>2</v>
      </c>
      <c r="O74" s="81">
        <v>2</v>
      </c>
      <c r="P74" s="81">
        <v>2</v>
      </c>
      <c r="Q74" s="82">
        <v>0</v>
      </c>
      <c r="R74" s="81">
        <v>0</v>
      </c>
      <c r="S74" s="81">
        <v>0</v>
      </c>
      <c r="T74" s="81">
        <v>0</v>
      </c>
      <c r="U74" s="81">
        <v>0</v>
      </c>
      <c r="V74" s="81">
        <v>0</v>
      </c>
      <c r="W74" s="81">
        <v>0</v>
      </c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</row>
    <row r="75" spans="1:40" ht="16.5" customHeight="1" x14ac:dyDescent="0.3">
      <c r="A75" s="133"/>
      <c r="B75" s="125"/>
      <c r="C75" s="129" t="s">
        <v>210</v>
      </c>
      <c r="D75" s="129"/>
      <c r="E75" s="129" t="s">
        <v>52</v>
      </c>
      <c r="F75" s="129"/>
      <c r="G75" s="80">
        <v>1</v>
      </c>
      <c r="H75" s="80">
        <v>2</v>
      </c>
      <c r="I75" s="81">
        <v>2</v>
      </c>
      <c r="J75" s="81">
        <v>2</v>
      </c>
      <c r="K75" s="81">
        <v>2</v>
      </c>
      <c r="L75" s="81">
        <v>2</v>
      </c>
      <c r="M75" s="81">
        <v>2</v>
      </c>
      <c r="N75" s="81">
        <v>2</v>
      </c>
      <c r="O75" s="81">
        <v>2</v>
      </c>
      <c r="P75" s="81">
        <v>2</v>
      </c>
      <c r="Q75" s="82">
        <v>0</v>
      </c>
      <c r="R75" s="81">
        <v>0</v>
      </c>
      <c r="S75" s="81">
        <v>0</v>
      </c>
      <c r="T75" s="81">
        <v>0</v>
      </c>
      <c r="U75" s="81">
        <v>0</v>
      </c>
      <c r="V75" s="81">
        <v>0</v>
      </c>
      <c r="W75" s="81">
        <v>0</v>
      </c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</row>
    <row r="76" spans="1:40" ht="16.5" customHeight="1" x14ac:dyDescent="0.3">
      <c r="A76" s="133"/>
      <c r="B76" s="125"/>
      <c r="C76" s="129" t="s">
        <v>209</v>
      </c>
      <c r="D76" s="129"/>
      <c r="E76" s="129" t="s">
        <v>46</v>
      </c>
      <c r="F76" s="129"/>
      <c r="G76" s="80">
        <v>1</v>
      </c>
      <c r="H76" s="80">
        <v>1</v>
      </c>
      <c r="I76" s="81">
        <v>1</v>
      </c>
      <c r="J76" s="81">
        <v>1</v>
      </c>
      <c r="K76" s="81">
        <v>1</v>
      </c>
      <c r="L76" s="81">
        <v>1</v>
      </c>
      <c r="M76" s="81">
        <v>1</v>
      </c>
      <c r="N76" s="81">
        <v>1</v>
      </c>
      <c r="O76" s="81">
        <v>1</v>
      </c>
      <c r="P76" s="81">
        <v>1</v>
      </c>
      <c r="Q76" s="81">
        <v>1</v>
      </c>
      <c r="R76" s="82">
        <v>0</v>
      </c>
      <c r="S76" s="81">
        <v>0</v>
      </c>
      <c r="T76" s="81">
        <v>0</v>
      </c>
      <c r="U76" s="81">
        <v>0</v>
      </c>
      <c r="V76" s="81">
        <v>0</v>
      </c>
      <c r="W76" s="81">
        <v>0</v>
      </c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</row>
    <row r="77" spans="1:40" ht="16.5" customHeight="1" x14ac:dyDescent="0.3">
      <c r="A77" s="133"/>
      <c r="B77" s="125"/>
      <c r="C77" s="129" t="s">
        <v>208</v>
      </c>
      <c r="D77" s="129"/>
      <c r="E77" s="129" t="s">
        <v>46</v>
      </c>
      <c r="F77" s="129"/>
      <c r="G77" s="80">
        <v>2</v>
      </c>
      <c r="H77" s="80">
        <v>2</v>
      </c>
      <c r="I77" s="81">
        <v>2</v>
      </c>
      <c r="J77" s="81">
        <v>2</v>
      </c>
      <c r="K77" s="81">
        <v>2</v>
      </c>
      <c r="L77" s="81">
        <v>2</v>
      </c>
      <c r="M77" s="81">
        <v>2</v>
      </c>
      <c r="N77" s="81">
        <v>2</v>
      </c>
      <c r="O77" s="81">
        <v>2</v>
      </c>
      <c r="P77" s="81">
        <v>2</v>
      </c>
      <c r="Q77" s="81">
        <v>2</v>
      </c>
      <c r="R77" s="82">
        <v>0</v>
      </c>
      <c r="S77" s="81">
        <v>0</v>
      </c>
      <c r="T77" s="81">
        <v>0</v>
      </c>
      <c r="U77" s="81">
        <v>0</v>
      </c>
      <c r="V77" s="81">
        <v>0</v>
      </c>
      <c r="W77" s="81">
        <v>0</v>
      </c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</row>
    <row r="78" spans="1:40" ht="16.2" customHeight="1" x14ac:dyDescent="0.3">
      <c r="A78" s="133"/>
      <c r="B78" s="125"/>
      <c r="C78" s="129" t="s">
        <v>207</v>
      </c>
      <c r="D78" s="129"/>
      <c r="E78" s="129" t="s">
        <v>46</v>
      </c>
      <c r="F78" s="129"/>
      <c r="G78" s="80">
        <v>2</v>
      </c>
      <c r="H78" s="80">
        <v>2</v>
      </c>
      <c r="I78" s="81">
        <v>2</v>
      </c>
      <c r="J78" s="81">
        <v>2</v>
      </c>
      <c r="K78" s="81">
        <v>2</v>
      </c>
      <c r="L78" s="81">
        <v>2</v>
      </c>
      <c r="M78" s="81">
        <v>2</v>
      </c>
      <c r="N78" s="81">
        <v>2</v>
      </c>
      <c r="O78" s="81">
        <v>2</v>
      </c>
      <c r="P78" s="81">
        <v>2</v>
      </c>
      <c r="Q78" s="81">
        <v>2</v>
      </c>
      <c r="R78" s="82">
        <v>0</v>
      </c>
      <c r="S78" s="81">
        <v>0</v>
      </c>
      <c r="T78" s="81">
        <v>0</v>
      </c>
      <c r="U78" s="81">
        <v>0</v>
      </c>
      <c r="V78" s="81">
        <v>0</v>
      </c>
      <c r="W78" s="81">
        <v>0</v>
      </c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</row>
    <row r="79" spans="1:40" ht="16.2" customHeight="1" x14ac:dyDescent="0.3">
      <c r="A79" s="133"/>
      <c r="B79" s="125"/>
      <c r="C79" s="129" t="s">
        <v>261</v>
      </c>
      <c r="D79" s="129"/>
      <c r="E79" s="129" t="s">
        <v>27</v>
      </c>
      <c r="F79" s="129"/>
      <c r="G79" s="80">
        <v>1</v>
      </c>
      <c r="H79" s="80">
        <v>1</v>
      </c>
      <c r="I79" s="81">
        <v>1</v>
      </c>
      <c r="J79" s="81">
        <v>1</v>
      </c>
      <c r="K79" s="81">
        <v>1</v>
      </c>
      <c r="L79" s="81">
        <v>1</v>
      </c>
      <c r="M79" s="81">
        <v>1</v>
      </c>
      <c r="N79" s="81">
        <v>1</v>
      </c>
      <c r="O79" s="81">
        <v>1</v>
      </c>
      <c r="P79" s="81">
        <v>1</v>
      </c>
      <c r="Q79" s="81">
        <v>1</v>
      </c>
      <c r="R79" s="82">
        <v>0</v>
      </c>
      <c r="S79" s="81">
        <v>0</v>
      </c>
      <c r="T79" s="81">
        <v>0</v>
      </c>
      <c r="U79" s="81">
        <v>0</v>
      </c>
      <c r="V79" s="81">
        <v>0</v>
      </c>
      <c r="W79" s="81">
        <v>0</v>
      </c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</row>
    <row r="80" spans="1:40" ht="16.2" customHeight="1" x14ac:dyDescent="0.3">
      <c r="A80" s="133"/>
      <c r="B80" s="125"/>
      <c r="C80" s="129" t="s">
        <v>262</v>
      </c>
      <c r="D80" s="129"/>
      <c r="E80" s="129" t="s">
        <v>27</v>
      </c>
      <c r="F80" s="129"/>
      <c r="G80" s="80">
        <v>1</v>
      </c>
      <c r="H80" s="80">
        <v>1</v>
      </c>
      <c r="I80" s="81">
        <v>1</v>
      </c>
      <c r="J80" s="81">
        <v>1</v>
      </c>
      <c r="K80" s="81">
        <v>1</v>
      </c>
      <c r="L80" s="81">
        <v>1</v>
      </c>
      <c r="M80" s="81">
        <v>1</v>
      </c>
      <c r="N80" s="81">
        <v>1</v>
      </c>
      <c r="O80" s="81">
        <v>1</v>
      </c>
      <c r="P80" s="81">
        <v>1</v>
      </c>
      <c r="Q80" s="81">
        <v>1</v>
      </c>
      <c r="R80" s="82">
        <v>0</v>
      </c>
      <c r="S80" s="81">
        <v>0</v>
      </c>
      <c r="T80" s="81">
        <v>0</v>
      </c>
      <c r="U80" s="81">
        <v>0</v>
      </c>
      <c r="V80" s="81">
        <v>0</v>
      </c>
      <c r="W80" s="81">
        <v>0</v>
      </c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</row>
    <row r="81" spans="1:40" ht="16.2" customHeight="1" x14ac:dyDescent="0.3">
      <c r="A81" s="133"/>
      <c r="B81" s="125"/>
      <c r="C81" s="129" t="s">
        <v>263</v>
      </c>
      <c r="D81" s="129"/>
      <c r="E81" s="129" t="s">
        <v>27</v>
      </c>
      <c r="F81" s="129"/>
      <c r="G81" s="80">
        <v>1</v>
      </c>
      <c r="H81" s="80">
        <v>1</v>
      </c>
      <c r="I81" s="81">
        <v>1</v>
      </c>
      <c r="J81" s="81">
        <v>1</v>
      </c>
      <c r="K81" s="81">
        <v>1</v>
      </c>
      <c r="L81" s="81">
        <v>1</v>
      </c>
      <c r="M81" s="81">
        <v>1</v>
      </c>
      <c r="N81" s="81">
        <v>1</v>
      </c>
      <c r="O81" s="81">
        <v>1</v>
      </c>
      <c r="P81" s="81">
        <v>1</v>
      </c>
      <c r="Q81" s="81">
        <v>1</v>
      </c>
      <c r="R81" s="82">
        <v>0</v>
      </c>
      <c r="S81" s="81">
        <v>0</v>
      </c>
      <c r="T81" s="81">
        <v>0</v>
      </c>
      <c r="U81" s="81">
        <v>0</v>
      </c>
      <c r="V81" s="81">
        <v>0</v>
      </c>
      <c r="W81" s="81">
        <v>0</v>
      </c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</row>
    <row r="82" spans="1:40" ht="16.2" customHeight="1" x14ac:dyDescent="0.3">
      <c r="A82" s="133"/>
      <c r="B82" s="125"/>
      <c r="C82" s="129" t="s">
        <v>264</v>
      </c>
      <c r="D82" s="129"/>
      <c r="E82" s="129" t="s">
        <v>27</v>
      </c>
      <c r="F82" s="129"/>
      <c r="G82" s="80">
        <v>2</v>
      </c>
      <c r="H82" s="80">
        <v>2</v>
      </c>
      <c r="I82" s="81">
        <v>2</v>
      </c>
      <c r="J82" s="81">
        <v>2</v>
      </c>
      <c r="K82" s="81">
        <v>2</v>
      </c>
      <c r="L82" s="81">
        <v>2</v>
      </c>
      <c r="M82" s="81">
        <v>2</v>
      </c>
      <c r="N82" s="81">
        <v>2</v>
      </c>
      <c r="O82" s="81">
        <v>2</v>
      </c>
      <c r="P82" s="81">
        <v>2</v>
      </c>
      <c r="Q82" s="81">
        <v>2</v>
      </c>
      <c r="R82" s="82">
        <v>0</v>
      </c>
      <c r="S82" s="81">
        <v>0</v>
      </c>
      <c r="T82" s="81">
        <v>0</v>
      </c>
      <c r="U82" s="81">
        <v>0</v>
      </c>
      <c r="V82" s="81">
        <v>0</v>
      </c>
      <c r="W82" s="81">
        <v>0</v>
      </c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</row>
    <row r="83" spans="1:40" ht="16.2" customHeight="1" x14ac:dyDescent="0.3">
      <c r="A83" s="133"/>
      <c r="B83" s="125"/>
      <c r="C83" s="129" t="s">
        <v>265</v>
      </c>
      <c r="D83" s="129"/>
      <c r="E83" s="129" t="s">
        <v>27</v>
      </c>
      <c r="F83" s="129"/>
      <c r="G83" s="80">
        <v>2</v>
      </c>
      <c r="H83" s="80">
        <v>2</v>
      </c>
      <c r="I83" s="81">
        <v>2</v>
      </c>
      <c r="J83" s="81">
        <v>2</v>
      </c>
      <c r="K83" s="81">
        <v>2</v>
      </c>
      <c r="L83" s="81">
        <v>2</v>
      </c>
      <c r="M83" s="81">
        <v>2</v>
      </c>
      <c r="N83" s="81">
        <v>2</v>
      </c>
      <c r="O83" s="81">
        <v>2</v>
      </c>
      <c r="P83" s="81">
        <v>2</v>
      </c>
      <c r="Q83" s="81">
        <v>2</v>
      </c>
      <c r="R83" s="82">
        <v>0</v>
      </c>
      <c r="S83" s="81">
        <v>0</v>
      </c>
      <c r="T83" s="81">
        <v>0</v>
      </c>
      <c r="U83" s="81">
        <v>0</v>
      </c>
      <c r="V83" s="81">
        <v>0</v>
      </c>
      <c r="W83" s="81">
        <v>0</v>
      </c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</row>
    <row r="84" spans="1:40" ht="16.2" customHeight="1" x14ac:dyDescent="0.3">
      <c r="A84" s="133"/>
      <c r="B84" s="125"/>
      <c r="C84" s="129" t="s">
        <v>266</v>
      </c>
      <c r="D84" s="129"/>
      <c r="E84" s="129" t="s">
        <v>27</v>
      </c>
      <c r="F84" s="129"/>
      <c r="G84" s="80">
        <v>3</v>
      </c>
      <c r="H84" s="80">
        <v>2</v>
      </c>
      <c r="I84" s="81">
        <v>2</v>
      </c>
      <c r="J84" s="81">
        <v>2</v>
      </c>
      <c r="K84" s="81">
        <v>2</v>
      </c>
      <c r="L84" s="81">
        <v>2</v>
      </c>
      <c r="M84" s="81">
        <v>2</v>
      </c>
      <c r="N84" s="81">
        <v>2</v>
      </c>
      <c r="O84" s="81">
        <v>2</v>
      </c>
      <c r="P84" s="81">
        <v>2</v>
      </c>
      <c r="Q84" s="81">
        <v>2</v>
      </c>
      <c r="R84" s="82">
        <v>0</v>
      </c>
      <c r="S84" s="81">
        <v>0</v>
      </c>
      <c r="T84" s="81">
        <v>0</v>
      </c>
      <c r="U84" s="81">
        <v>0</v>
      </c>
      <c r="V84" s="81">
        <v>0</v>
      </c>
      <c r="W84" s="81">
        <v>0</v>
      </c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</row>
    <row r="85" spans="1:40" ht="16.2" customHeight="1" x14ac:dyDescent="0.3">
      <c r="A85" s="133"/>
      <c r="B85" s="125"/>
      <c r="C85" s="80"/>
      <c r="D85" s="80"/>
      <c r="E85" s="80"/>
      <c r="F85" s="80"/>
      <c r="G85" s="80"/>
      <c r="H85" s="80"/>
      <c r="I85" s="81"/>
      <c r="J85" s="81"/>
      <c r="K85" s="81"/>
      <c r="L85" s="81"/>
      <c r="M85" s="81"/>
      <c r="N85" s="81"/>
      <c r="O85" s="81"/>
      <c r="P85" s="81"/>
      <c r="Q85" s="81"/>
      <c r="R85" s="84">
        <v>1</v>
      </c>
      <c r="S85" s="81"/>
      <c r="T85" s="81"/>
      <c r="U85" s="81"/>
      <c r="V85" s="81"/>
      <c r="W85" s="81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</row>
    <row r="86" spans="1:40" ht="16.2" customHeight="1" x14ac:dyDescent="0.3">
      <c r="A86" s="133"/>
      <c r="B86" s="125"/>
      <c r="C86" s="129" t="s">
        <v>267</v>
      </c>
      <c r="D86" s="129"/>
      <c r="E86" s="129" t="s">
        <v>27</v>
      </c>
      <c r="F86" s="129"/>
      <c r="G86" s="80">
        <v>1</v>
      </c>
      <c r="H86" s="80">
        <v>1</v>
      </c>
      <c r="I86" s="81">
        <v>1</v>
      </c>
      <c r="J86" s="81">
        <v>1</v>
      </c>
      <c r="K86" s="81">
        <v>1</v>
      </c>
      <c r="L86" s="81">
        <v>1</v>
      </c>
      <c r="M86" s="81">
        <v>1</v>
      </c>
      <c r="N86" s="81">
        <v>1</v>
      </c>
      <c r="O86" s="81">
        <v>1</v>
      </c>
      <c r="P86" s="81">
        <v>1</v>
      </c>
      <c r="Q86" s="81">
        <v>1</v>
      </c>
      <c r="R86" s="81">
        <v>1</v>
      </c>
      <c r="S86" s="82">
        <v>0</v>
      </c>
      <c r="T86" s="81">
        <v>0</v>
      </c>
      <c r="U86" s="81">
        <v>0</v>
      </c>
      <c r="V86" s="81">
        <v>0</v>
      </c>
      <c r="W86" s="81">
        <v>0</v>
      </c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</row>
    <row r="87" spans="1:40" ht="16.2" customHeight="1" x14ac:dyDescent="0.3">
      <c r="A87" s="133"/>
      <c r="B87" s="125"/>
      <c r="C87" s="129" t="s">
        <v>268</v>
      </c>
      <c r="D87" s="129"/>
      <c r="E87" s="129" t="s">
        <v>27</v>
      </c>
      <c r="F87" s="129"/>
      <c r="G87" s="80">
        <v>1</v>
      </c>
      <c r="H87" s="80">
        <v>1</v>
      </c>
      <c r="I87" s="81">
        <v>1</v>
      </c>
      <c r="J87" s="81">
        <v>1</v>
      </c>
      <c r="K87" s="81">
        <v>1</v>
      </c>
      <c r="L87" s="81">
        <v>1</v>
      </c>
      <c r="M87" s="81">
        <v>1</v>
      </c>
      <c r="N87" s="81">
        <v>1</v>
      </c>
      <c r="O87" s="81">
        <v>1</v>
      </c>
      <c r="P87" s="81">
        <v>1</v>
      </c>
      <c r="Q87" s="81">
        <v>1</v>
      </c>
      <c r="R87" s="81">
        <v>1</v>
      </c>
      <c r="S87" s="82">
        <v>0</v>
      </c>
      <c r="T87" s="81">
        <v>0</v>
      </c>
      <c r="U87" s="81">
        <v>0</v>
      </c>
      <c r="V87" s="81">
        <v>0</v>
      </c>
      <c r="W87" s="81">
        <v>0</v>
      </c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</row>
    <row r="88" spans="1:40" ht="16.2" customHeight="1" x14ac:dyDescent="0.3">
      <c r="A88" s="133"/>
      <c r="B88" s="125"/>
      <c r="C88" s="129" t="s">
        <v>269</v>
      </c>
      <c r="D88" s="129"/>
      <c r="E88" s="129" t="s">
        <v>27</v>
      </c>
      <c r="F88" s="129"/>
      <c r="G88" s="80">
        <v>1</v>
      </c>
      <c r="H88" s="80">
        <v>1</v>
      </c>
      <c r="I88" s="81">
        <v>1</v>
      </c>
      <c r="J88" s="81">
        <v>1</v>
      </c>
      <c r="K88" s="81">
        <v>1</v>
      </c>
      <c r="L88" s="81">
        <v>1</v>
      </c>
      <c r="M88" s="81">
        <v>1</v>
      </c>
      <c r="N88" s="81">
        <v>1</v>
      </c>
      <c r="O88" s="81">
        <v>1</v>
      </c>
      <c r="P88" s="81">
        <v>1</v>
      </c>
      <c r="Q88" s="81">
        <v>1</v>
      </c>
      <c r="R88" s="81">
        <v>1</v>
      </c>
      <c r="S88" s="82">
        <v>0</v>
      </c>
      <c r="T88" s="81">
        <v>0</v>
      </c>
      <c r="U88" s="81">
        <v>0</v>
      </c>
      <c r="V88" s="81">
        <v>0</v>
      </c>
      <c r="W88" s="81">
        <v>0</v>
      </c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</row>
    <row r="89" spans="1:40" ht="16.5" customHeight="1" x14ac:dyDescent="0.3">
      <c r="A89" s="133"/>
      <c r="B89" s="125" t="s">
        <v>86</v>
      </c>
      <c r="C89" s="129" t="s">
        <v>206</v>
      </c>
      <c r="D89" s="129"/>
      <c r="E89" s="129" t="s">
        <v>31</v>
      </c>
      <c r="F89" s="129"/>
      <c r="G89" s="80">
        <v>2</v>
      </c>
      <c r="H89" s="80">
        <v>2</v>
      </c>
      <c r="I89" s="81">
        <v>2</v>
      </c>
      <c r="J89" s="81">
        <v>2</v>
      </c>
      <c r="K89" s="81">
        <v>2</v>
      </c>
      <c r="L89" s="81">
        <v>2</v>
      </c>
      <c r="M89" s="81">
        <v>2</v>
      </c>
      <c r="N89" s="81">
        <v>2</v>
      </c>
      <c r="O89" s="81">
        <v>2</v>
      </c>
      <c r="P89" s="81">
        <v>2</v>
      </c>
      <c r="Q89" s="81">
        <v>2</v>
      </c>
      <c r="R89" s="81">
        <v>2</v>
      </c>
      <c r="S89" s="82">
        <v>0</v>
      </c>
      <c r="T89" s="81">
        <v>0</v>
      </c>
      <c r="U89" s="81">
        <v>0</v>
      </c>
      <c r="V89" s="81">
        <v>0</v>
      </c>
      <c r="W89" s="81">
        <v>0</v>
      </c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</row>
    <row r="90" spans="1:40" ht="16.5" customHeight="1" x14ac:dyDescent="0.3">
      <c r="A90" s="133"/>
      <c r="B90" s="125"/>
      <c r="C90" s="129" t="s">
        <v>205</v>
      </c>
      <c r="D90" s="129"/>
      <c r="E90" s="129" t="s">
        <v>44</v>
      </c>
      <c r="F90" s="129"/>
      <c r="G90" s="80">
        <v>1</v>
      </c>
      <c r="H90" s="80">
        <v>1</v>
      </c>
      <c r="I90" s="81">
        <v>1</v>
      </c>
      <c r="J90" s="81">
        <v>1</v>
      </c>
      <c r="K90" s="81">
        <v>1</v>
      </c>
      <c r="L90" s="81">
        <v>1</v>
      </c>
      <c r="M90" s="81">
        <v>1</v>
      </c>
      <c r="N90" s="81">
        <v>1</v>
      </c>
      <c r="O90" s="81">
        <v>1</v>
      </c>
      <c r="P90" s="81">
        <v>1</v>
      </c>
      <c r="Q90" s="81">
        <v>1</v>
      </c>
      <c r="R90" s="81">
        <v>1</v>
      </c>
      <c r="S90" s="82">
        <v>0</v>
      </c>
      <c r="T90" s="81">
        <v>0</v>
      </c>
      <c r="U90" s="81">
        <v>0</v>
      </c>
      <c r="V90" s="81">
        <v>0</v>
      </c>
      <c r="W90" s="81">
        <v>0</v>
      </c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</row>
    <row r="91" spans="1:40" ht="16.5" customHeight="1" x14ac:dyDescent="0.3">
      <c r="A91" s="133"/>
      <c r="B91" s="125"/>
      <c r="C91" s="129" t="s">
        <v>204</v>
      </c>
      <c r="D91" s="129"/>
      <c r="E91" s="129" t="s">
        <v>44</v>
      </c>
      <c r="F91" s="129"/>
      <c r="G91" s="80">
        <v>1</v>
      </c>
      <c r="H91" s="80">
        <v>3</v>
      </c>
      <c r="I91" s="81">
        <v>3</v>
      </c>
      <c r="J91" s="81">
        <v>3</v>
      </c>
      <c r="K91" s="81">
        <v>3</v>
      </c>
      <c r="L91" s="81">
        <v>3</v>
      </c>
      <c r="M91" s="81">
        <v>3</v>
      </c>
      <c r="N91" s="81">
        <v>3</v>
      </c>
      <c r="O91" s="81">
        <v>3</v>
      </c>
      <c r="P91" s="81">
        <v>3</v>
      </c>
      <c r="Q91" s="81">
        <v>3</v>
      </c>
      <c r="R91" s="81">
        <v>3</v>
      </c>
      <c r="S91" s="82">
        <v>0</v>
      </c>
      <c r="T91" s="81">
        <v>0</v>
      </c>
      <c r="U91" s="81">
        <v>0</v>
      </c>
      <c r="V91" s="81">
        <v>0</v>
      </c>
      <c r="W91" s="81">
        <v>0</v>
      </c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</row>
    <row r="92" spans="1:40" ht="16.5" customHeight="1" x14ac:dyDescent="0.3">
      <c r="A92" s="133"/>
      <c r="B92" s="125"/>
      <c r="C92" s="129" t="s">
        <v>203</v>
      </c>
      <c r="D92" s="129"/>
      <c r="E92" s="129" t="s">
        <v>44</v>
      </c>
      <c r="F92" s="129"/>
      <c r="G92" s="80">
        <v>1</v>
      </c>
      <c r="H92" s="80">
        <v>1</v>
      </c>
      <c r="I92" s="81">
        <v>1</v>
      </c>
      <c r="J92" s="81">
        <v>1</v>
      </c>
      <c r="K92" s="81">
        <v>1</v>
      </c>
      <c r="L92" s="81">
        <v>1</v>
      </c>
      <c r="M92" s="81">
        <v>1</v>
      </c>
      <c r="N92" s="81">
        <v>1</v>
      </c>
      <c r="O92" s="81">
        <v>1</v>
      </c>
      <c r="P92" s="81">
        <v>1</v>
      </c>
      <c r="Q92" s="81">
        <v>1</v>
      </c>
      <c r="R92" s="81">
        <v>1</v>
      </c>
      <c r="S92" s="82">
        <v>0</v>
      </c>
      <c r="T92" s="81">
        <v>0</v>
      </c>
      <c r="U92" s="81">
        <v>0</v>
      </c>
      <c r="V92" s="81">
        <v>0</v>
      </c>
      <c r="W92" s="81">
        <v>0</v>
      </c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</row>
    <row r="93" spans="1:40" ht="16.5" customHeight="1" x14ac:dyDescent="0.3">
      <c r="A93" s="133"/>
      <c r="B93" s="125"/>
      <c r="C93" s="129" t="s">
        <v>202</v>
      </c>
      <c r="D93" s="129"/>
      <c r="E93" s="129" t="s">
        <v>279</v>
      </c>
      <c r="F93" s="129"/>
      <c r="G93" s="80">
        <v>3</v>
      </c>
      <c r="H93" s="80">
        <v>3</v>
      </c>
      <c r="I93" s="81">
        <v>3</v>
      </c>
      <c r="J93" s="81">
        <v>3</v>
      </c>
      <c r="K93" s="81">
        <v>3</v>
      </c>
      <c r="L93" s="81">
        <v>3</v>
      </c>
      <c r="M93" s="81">
        <v>3</v>
      </c>
      <c r="N93" s="81">
        <v>3</v>
      </c>
      <c r="O93" s="81">
        <v>3</v>
      </c>
      <c r="P93" s="81">
        <v>3</v>
      </c>
      <c r="Q93" s="81">
        <v>3</v>
      </c>
      <c r="R93" s="81">
        <v>3</v>
      </c>
      <c r="S93" s="82">
        <v>0</v>
      </c>
      <c r="T93" s="81">
        <v>0</v>
      </c>
      <c r="U93" s="81">
        <v>0</v>
      </c>
      <c r="V93" s="81">
        <v>0</v>
      </c>
      <c r="W93" s="81">
        <v>0</v>
      </c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</row>
    <row r="94" spans="1:40" ht="16.5" customHeight="1" x14ac:dyDescent="0.3">
      <c r="A94" s="133"/>
      <c r="B94" s="125"/>
      <c r="C94" s="129" t="s">
        <v>201</v>
      </c>
      <c r="D94" s="129"/>
      <c r="E94" s="129" t="s">
        <v>45</v>
      </c>
      <c r="F94" s="129"/>
      <c r="G94" s="80">
        <v>1</v>
      </c>
      <c r="H94" s="80">
        <v>1</v>
      </c>
      <c r="I94" s="81">
        <v>1</v>
      </c>
      <c r="J94" s="81">
        <v>1</v>
      </c>
      <c r="K94" s="81">
        <v>1</v>
      </c>
      <c r="L94" s="81">
        <v>1</v>
      </c>
      <c r="M94" s="81">
        <v>1</v>
      </c>
      <c r="N94" s="81">
        <v>1</v>
      </c>
      <c r="O94" s="81">
        <v>1</v>
      </c>
      <c r="P94" s="81">
        <v>1</v>
      </c>
      <c r="Q94" s="81">
        <v>1</v>
      </c>
      <c r="R94" s="81">
        <v>1</v>
      </c>
      <c r="S94" s="82">
        <v>0</v>
      </c>
      <c r="T94" s="81">
        <v>0</v>
      </c>
      <c r="U94" s="81">
        <v>0</v>
      </c>
      <c r="V94" s="81">
        <v>0</v>
      </c>
      <c r="W94" s="81">
        <v>0</v>
      </c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</row>
    <row r="95" spans="1:40" ht="16.5" customHeight="1" x14ac:dyDescent="0.3">
      <c r="A95" s="133"/>
      <c r="B95" s="125"/>
      <c r="C95" s="129" t="s">
        <v>200</v>
      </c>
      <c r="D95" s="129"/>
      <c r="E95" s="129" t="s">
        <v>44</v>
      </c>
      <c r="F95" s="129"/>
      <c r="G95" s="80">
        <v>3</v>
      </c>
      <c r="H95" s="80">
        <v>3</v>
      </c>
      <c r="I95" s="81">
        <v>3</v>
      </c>
      <c r="J95" s="81">
        <v>3</v>
      </c>
      <c r="K95" s="81">
        <v>3</v>
      </c>
      <c r="L95" s="81">
        <v>3</v>
      </c>
      <c r="M95" s="81">
        <v>3</v>
      </c>
      <c r="N95" s="81">
        <v>3</v>
      </c>
      <c r="O95" s="81">
        <v>3</v>
      </c>
      <c r="P95" s="81">
        <v>3</v>
      </c>
      <c r="Q95" s="81">
        <v>3</v>
      </c>
      <c r="R95" s="81">
        <v>3</v>
      </c>
      <c r="S95" s="82">
        <v>0</v>
      </c>
      <c r="T95" s="81">
        <v>0</v>
      </c>
      <c r="U95" s="81">
        <v>0</v>
      </c>
      <c r="V95" s="81">
        <v>0</v>
      </c>
      <c r="W95" s="81">
        <v>0</v>
      </c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</row>
    <row r="96" spans="1:40" ht="16.5" customHeight="1" x14ac:dyDescent="0.3">
      <c r="A96" s="133"/>
      <c r="B96" s="125"/>
      <c r="C96" s="129" t="s">
        <v>199</v>
      </c>
      <c r="D96" s="129"/>
      <c r="E96" s="129" t="s">
        <v>44</v>
      </c>
      <c r="F96" s="129"/>
      <c r="G96" s="80">
        <v>2</v>
      </c>
      <c r="H96" s="80">
        <v>1</v>
      </c>
      <c r="I96" s="81">
        <v>1</v>
      </c>
      <c r="J96" s="81">
        <v>1</v>
      </c>
      <c r="K96" s="81">
        <v>1</v>
      </c>
      <c r="L96" s="81">
        <v>1</v>
      </c>
      <c r="M96" s="81">
        <v>1</v>
      </c>
      <c r="N96" s="81">
        <v>1</v>
      </c>
      <c r="O96" s="81">
        <v>1</v>
      </c>
      <c r="P96" s="81">
        <v>1</v>
      </c>
      <c r="Q96" s="81">
        <v>1</v>
      </c>
      <c r="R96" s="81">
        <v>1</v>
      </c>
      <c r="S96" s="82">
        <v>0</v>
      </c>
      <c r="T96" s="81">
        <v>0</v>
      </c>
      <c r="U96" s="81">
        <v>0</v>
      </c>
      <c r="V96" s="81">
        <v>0</v>
      </c>
      <c r="W96" s="81">
        <v>0</v>
      </c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</row>
    <row r="97" spans="1:40" ht="16.5" customHeight="1" x14ac:dyDescent="0.3">
      <c r="A97" s="133"/>
      <c r="B97" s="125"/>
      <c r="C97" s="80"/>
      <c r="D97" s="80"/>
      <c r="E97" s="80"/>
      <c r="F97" s="80"/>
      <c r="G97" s="80"/>
      <c r="H97" s="80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4">
        <v>1</v>
      </c>
      <c r="T97" s="81"/>
      <c r="U97" s="81"/>
      <c r="V97" s="81"/>
      <c r="W97" s="81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</row>
    <row r="98" spans="1:40" ht="16.2" customHeight="1" x14ac:dyDescent="0.3">
      <c r="A98" s="133"/>
      <c r="B98" s="125"/>
      <c r="C98" s="129" t="s">
        <v>198</v>
      </c>
      <c r="D98" s="129"/>
      <c r="E98" s="129" t="s">
        <v>44</v>
      </c>
      <c r="F98" s="129"/>
      <c r="G98" s="80">
        <v>2</v>
      </c>
      <c r="H98" s="80">
        <v>1</v>
      </c>
      <c r="I98" s="81">
        <v>1</v>
      </c>
      <c r="J98" s="81">
        <v>1</v>
      </c>
      <c r="K98" s="81">
        <v>1</v>
      </c>
      <c r="L98" s="81">
        <v>1</v>
      </c>
      <c r="M98" s="81">
        <v>1</v>
      </c>
      <c r="N98" s="81">
        <v>1</v>
      </c>
      <c r="O98" s="81">
        <v>1</v>
      </c>
      <c r="P98" s="81">
        <v>1</v>
      </c>
      <c r="Q98" s="81">
        <v>1</v>
      </c>
      <c r="R98" s="81">
        <v>1</v>
      </c>
      <c r="S98" s="82">
        <v>0</v>
      </c>
      <c r="T98" s="81">
        <v>0</v>
      </c>
      <c r="U98" s="81">
        <v>0</v>
      </c>
      <c r="V98" s="81">
        <v>0</v>
      </c>
      <c r="W98" s="81">
        <v>0</v>
      </c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</row>
    <row r="99" spans="1:40" ht="16.2" customHeight="1" x14ac:dyDescent="0.3">
      <c r="A99" s="133"/>
      <c r="B99" s="125"/>
      <c r="C99" s="80"/>
      <c r="D99" s="80"/>
      <c r="E99" s="80"/>
      <c r="F99" s="80"/>
      <c r="G99" s="80"/>
      <c r="H99" s="80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4">
        <v>1</v>
      </c>
      <c r="T99" s="81"/>
      <c r="U99" s="81"/>
      <c r="V99" s="81"/>
      <c r="W99" s="81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</row>
    <row r="100" spans="1:40" ht="16.2" customHeight="1" x14ac:dyDescent="0.3">
      <c r="A100" s="133"/>
      <c r="B100" s="125"/>
      <c r="C100" s="129" t="s">
        <v>270</v>
      </c>
      <c r="D100" s="129"/>
      <c r="E100" s="129" t="s">
        <v>44</v>
      </c>
      <c r="F100" s="129"/>
      <c r="G100" s="80">
        <v>1</v>
      </c>
      <c r="H100" s="80">
        <v>1</v>
      </c>
      <c r="I100" s="81">
        <v>1</v>
      </c>
      <c r="J100" s="81">
        <v>1</v>
      </c>
      <c r="K100" s="81">
        <v>1</v>
      </c>
      <c r="L100" s="81">
        <v>1</v>
      </c>
      <c r="M100" s="81">
        <v>1</v>
      </c>
      <c r="N100" s="81">
        <v>1</v>
      </c>
      <c r="O100" s="81">
        <v>1</v>
      </c>
      <c r="P100" s="81">
        <v>1</v>
      </c>
      <c r="Q100" s="81">
        <v>1</v>
      </c>
      <c r="R100" s="81">
        <v>1</v>
      </c>
      <c r="S100" s="81">
        <v>1</v>
      </c>
      <c r="T100" s="82">
        <v>0</v>
      </c>
      <c r="U100" s="81">
        <v>0</v>
      </c>
      <c r="V100" s="81">
        <v>0</v>
      </c>
      <c r="W100" s="81">
        <v>0</v>
      </c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</row>
    <row r="101" spans="1:40" ht="16.2" customHeight="1" x14ac:dyDescent="0.3">
      <c r="A101" s="133"/>
      <c r="B101" s="125"/>
      <c r="C101" s="129" t="s">
        <v>271</v>
      </c>
      <c r="D101" s="129"/>
      <c r="E101" s="129" t="s">
        <v>44</v>
      </c>
      <c r="F101" s="129"/>
      <c r="G101" s="80">
        <v>1</v>
      </c>
      <c r="H101" s="80">
        <v>1</v>
      </c>
      <c r="I101" s="81">
        <v>1</v>
      </c>
      <c r="J101" s="81">
        <v>1</v>
      </c>
      <c r="K101" s="81">
        <v>1</v>
      </c>
      <c r="L101" s="81">
        <v>1</v>
      </c>
      <c r="M101" s="81">
        <v>1</v>
      </c>
      <c r="N101" s="81">
        <v>1</v>
      </c>
      <c r="O101" s="81">
        <v>1</v>
      </c>
      <c r="P101" s="81">
        <v>1</v>
      </c>
      <c r="Q101" s="81">
        <v>1</v>
      </c>
      <c r="R101" s="81">
        <v>1</v>
      </c>
      <c r="S101" s="81">
        <v>1</v>
      </c>
      <c r="T101" s="82">
        <v>0</v>
      </c>
      <c r="U101" s="81">
        <v>0</v>
      </c>
      <c r="V101" s="81">
        <v>0</v>
      </c>
      <c r="W101" s="81">
        <v>0</v>
      </c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</row>
    <row r="102" spans="1:40" ht="16.2" customHeight="1" x14ac:dyDescent="0.3">
      <c r="A102" s="133"/>
      <c r="B102" s="125"/>
      <c r="C102" s="129" t="s">
        <v>272</v>
      </c>
      <c r="D102" s="129"/>
      <c r="E102" s="129" t="s">
        <v>44</v>
      </c>
      <c r="F102" s="129"/>
      <c r="G102" s="80">
        <v>1</v>
      </c>
      <c r="H102" s="80">
        <v>1</v>
      </c>
      <c r="I102" s="81">
        <v>1</v>
      </c>
      <c r="J102" s="81">
        <v>1</v>
      </c>
      <c r="K102" s="81">
        <v>1</v>
      </c>
      <c r="L102" s="81">
        <v>1</v>
      </c>
      <c r="M102" s="81">
        <v>1</v>
      </c>
      <c r="N102" s="81">
        <v>1</v>
      </c>
      <c r="O102" s="81">
        <v>1</v>
      </c>
      <c r="P102" s="81">
        <v>1</v>
      </c>
      <c r="Q102" s="81">
        <v>1</v>
      </c>
      <c r="R102" s="81">
        <v>1</v>
      </c>
      <c r="S102" s="81">
        <v>1</v>
      </c>
      <c r="T102" s="82">
        <v>0</v>
      </c>
      <c r="U102" s="81">
        <v>0</v>
      </c>
      <c r="V102" s="81">
        <v>0</v>
      </c>
      <c r="W102" s="81">
        <v>0</v>
      </c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</row>
    <row r="103" spans="1:40" ht="16.5" customHeight="1" x14ac:dyDescent="0.3">
      <c r="A103" s="133"/>
      <c r="B103" s="125" t="s">
        <v>99</v>
      </c>
      <c r="C103" s="129" t="s">
        <v>197</v>
      </c>
      <c r="D103" s="129"/>
      <c r="E103" s="129" t="s">
        <v>45</v>
      </c>
      <c r="F103" s="129"/>
      <c r="G103" s="80">
        <v>1</v>
      </c>
      <c r="H103" s="80">
        <v>1</v>
      </c>
      <c r="I103" s="81">
        <v>1</v>
      </c>
      <c r="J103" s="81">
        <v>1</v>
      </c>
      <c r="K103" s="81">
        <v>1</v>
      </c>
      <c r="L103" s="81">
        <v>1</v>
      </c>
      <c r="M103" s="81">
        <v>1</v>
      </c>
      <c r="N103" s="81">
        <v>1</v>
      </c>
      <c r="O103" s="81">
        <v>1</v>
      </c>
      <c r="P103" s="81">
        <v>1</v>
      </c>
      <c r="Q103" s="81">
        <v>1</v>
      </c>
      <c r="R103" s="81">
        <v>1</v>
      </c>
      <c r="S103" s="81">
        <v>1</v>
      </c>
      <c r="T103" s="82">
        <v>0</v>
      </c>
      <c r="U103" s="81">
        <v>0</v>
      </c>
      <c r="V103" s="81">
        <v>0</v>
      </c>
      <c r="W103" s="81">
        <v>0</v>
      </c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</row>
    <row r="104" spans="1:40" ht="16.5" customHeight="1" x14ac:dyDescent="0.3">
      <c r="A104" s="133"/>
      <c r="B104" s="125"/>
      <c r="C104" s="129" t="s">
        <v>196</v>
      </c>
      <c r="D104" s="129"/>
      <c r="E104" s="129" t="s">
        <v>45</v>
      </c>
      <c r="F104" s="129"/>
      <c r="G104" s="80">
        <v>1</v>
      </c>
      <c r="H104" s="80">
        <v>1</v>
      </c>
      <c r="I104" s="81">
        <v>1</v>
      </c>
      <c r="J104" s="81">
        <v>1</v>
      </c>
      <c r="K104" s="81">
        <v>1</v>
      </c>
      <c r="L104" s="81">
        <v>1</v>
      </c>
      <c r="M104" s="81">
        <v>1</v>
      </c>
      <c r="N104" s="81">
        <v>1</v>
      </c>
      <c r="O104" s="81">
        <v>1</v>
      </c>
      <c r="P104" s="81">
        <v>1</v>
      </c>
      <c r="Q104" s="81">
        <v>1</v>
      </c>
      <c r="R104" s="81">
        <v>1</v>
      </c>
      <c r="S104" s="81">
        <v>1</v>
      </c>
      <c r="T104" s="82">
        <v>0</v>
      </c>
      <c r="U104" s="81">
        <v>0</v>
      </c>
      <c r="V104" s="81">
        <v>0</v>
      </c>
      <c r="W104" s="81">
        <v>0</v>
      </c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</row>
    <row r="105" spans="1:40" ht="16.5" customHeight="1" x14ac:dyDescent="0.3">
      <c r="A105" s="133"/>
      <c r="B105" s="125"/>
      <c r="C105" s="129" t="s">
        <v>195</v>
      </c>
      <c r="D105" s="129"/>
      <c r="E105" s="129" t="s">
        <v>27</v>
      </c>
      <c r="F105" s="129"/>
      <c r="G105" s="80">
        <v>2</v>
      </c>
      <c r="H105" s="80">
        <v>2</v>
      </c>
      <c r="I105" s="81">
        <v>2</v>
      </c>
      <c r="J105" s="81">
        <v>2</v>
      </c>
      <c r="K105" s="81">
        <v>2</v>
      </c>
      <c r="L105" s="81">
        <v>2</v>
      </c>
      <c r="M105" s="81">
        <v>2</v>
      </c>
      <c r="N105" s="81">
        <v>2</v>
      </c>
      <c r="O105" s="81">
        <v>2</v>
      </c>
      <c r="P105" s="81">
        <v>2</v>
      </c>
      <c r="Q105" s="81">
        <v>2</v>
      </c>
      <c r="R105" s="81">
        <v>2</v>
      </c>
      <c r="S105" s="81">
        <v>2</v>
      </c>
      <c r="T105" s="82">
        <v>0</v>
      </c>
      <c r="U105" s="81">
        <v>0</v>
      </c>
      <c r="V105" s="81">
        <v>0</v>
      </c>
      <c r="W105" s="81">
        <v>0</v>
      </c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</row>
    <row r="106" spans="1:40" ht="16.5" customHeight="1" x14ac:dyDescent="0.3">
      <c r="A106" s="133"/>
      <c r="B106" s="125"/>
      <c r="C106" s="129" t="s">
        <v>194</v>
      </c>
      <c r="D106" s="129"/>
      <c r="E106" s="129" t="s">
        <v>104</v>
      </c>
      <c r="F106" s="129"/>
      <c r="G106" s="80">
        <v>1</v>
      </c>
      <c r="H106" s="80">
        <v>1</v>
      </c>
      <c r="I106" s="81">
        <v>1</v>
      </c>
      <c r="J106" s="81">
        <v>1</v>
      </c>
      <c r="K106" s="81">
        <v>1</v>
      </c>
      <c r="L106" s="81">
        <v>1</v>
      </c>
      <c r="M106" s="81">
        <v>1</v>
      </c>
      <c r="N106" s="81">
        <v>1</v>
      </c>
      <c r="O106" s="81">
        <v>1</v>
      </c>
      <c r="P106" s="81">
        <v>1</v>
      </c>
      <c r="Q106" s="81">
        <v>1</v>
      </c>
      <c r="R106" s="81">
        <v>1</v>
      </c>
      <c r="S106" s="81">
        <v>1</v>
      </c>
      <c r="T106" s="82">
        <v>0</v>
      </c>
      <c r="U106" s="81">
        <v>0</v>
      </c>
      <c r="V106" s="81">
        <v>0</v>
      </c>
      <c r="W106" s="81">
        <v>0</v>
      </c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</row>
    <row r="107" spans="1:40" ht="16.5" customHeight="1" x14ac:dyDescent="0.3">
      <c r="A107" s="133"/>
      <c r="B107" s="125"/>
      <c r="C107" s="129" t="s">
        <v>193</v>
      </c>
      <c r="D107" s="129"/>
      <c r="E107" s="129" t="s">
        <v>46</v>
      </c>
      <c r="F107" s="129"/>
      <c r="G107" s="80">
        <v>2</v>
      </c>
      <c r="H107" s="80">
        <v>2</v>
      </c>
      <c r="I107" s="81">
        <v>2</v>
      </c>
      <c r="J107" s="81">
        <v>2</v>
      </c>
      <c r="K107" s="81">
        <v>2</v>
      </c>
      <c r="L107" s="81">
        <v>2</v>
      </c>
      <c r="M107" s="81">
        <v>2</v>
      </c>
      <c r="N107" s="81">
        <v>2</v>
      </c>
      <c r="O107" s="81">
        <v>2</v>
      </c>
      <c r="P107" s="81">
        <v>2</v>
      </c>
      <c r="Q107" s="81">
        <v>2</v>
      </c>
      <c r="R107" s="81">
        <v>2</v>
      </c>
      <c r="S107" s="81">
        <v>2</v>
      </c>
      <c r="T107" s="82">
        <v>0</v>
      </c>
      <c r="U107" s="81">
        <v>0</v>
      </c>
      <c r="V107" s="81">
        <v>0</v>
      </c>
      <c r="W107" s="81">
        <v>0</v>
      </c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</row>
    <row r="108" spans="1:40" ht="16.5" customHeight="1" x14ac:dyDescent="0.3">
      <c r="A108" s="133"/>
      <c r="B108" s="125"/>
      <c r="C108" s="129" t="s">
        <v>192</v>
      </c>
      <c r="D108" s="129"/>
      <c r="E108" s="129" t="s">
        <v>104</v>
      </c>
      <c r="F108" s="129"/>
      <c r="G108" s="80">
        <v>1</v>
      </c>
      <c r="H108" s="80">
        <v>1</v>
      </c>
      <c r="I108" s="81">
        <v>1</v>
      </c>
      <c r="J108" s="81">
        <v>1</v>
      </c>
      <c r="K108" s="81">
        <v>1</v>
      </c>
      <c r="L108" s="81">
        <v>1</v>
      </c>
      <c r="M108" s="81">
        <v>1</v>
      </c>
      <c r="N108" s="81">
        <v>1</v>
      </c>
      <c r="O108" s="81">
        <v>1</v>
      </c>
      <c r="P108" s="81">
        <v>1</v>
      </c>
      <c r="Q108" s="81">
        <v>1</v>
      </c>
      <c r="R108" s="81">
        <v>1</v>
      </c>
      <c r="S108" s="81">
        <v>1</v>
      </c>
      <c r="T108" s="82">
        <v>0</v>
      </c>
      <c r="U108" s="81">
        <v>0</v>
      </c>
      <c r="V108" s="81">
        <v>0</v>
      </c>
      <c r="W108" s="81">
        <v>0</v>
      </c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</row>
    <row r="109" spans="1:40" ht="16.5" customHeight="1" x14ac:dyDescent="0.3">
      <c r="A109" s="133"/>
      <c r="B109" s="125"/>
      <c r="C109" s="129" t="s">
        <v>191</v>
      </c>
      <c r="D109" s="129"/>
      <c r="E109" s="129" t="s">
        <v>27</v>
      </c>
      <c r="F109" s="129"/>
      <c r="G109" s="80">
        <v>1</v>
      </c>
      <c r="H109" s="80">
        <v>1</v>
      </c>
      <c r="I109" s="81">
        <v>1</v>
      </c>
      <c r="J109" s="81">
        <v>1</v>
      </c>
      <c r="K109" s="81">
        <v>1</v>
      </c>
      <c r="L109" s="81">
        <v>1</v>
      </c>
      <c r="M109" s="81">
        <v>1</v>
      </c>
      <c r="N109" s="81">
        <v>1</v>
      </c>
      <c r="O109" s="81">
        <v>1</v>
      </c>
      <c r="P109" s="81">
        <v>1</v>
      </c>
      <c r="Q109" s="81">
        <v>1</v>
      </c>
      <c r="R109" s="81">
        <v>1</v>
      </c>
      <c r="S109" s="81">
        <v>1</v>
      </c>
      <c r="T109" s="82">
        <v>0</v>
      </c>
      <c r="U109" s="81">
        <v>0</v>
      </c>
      <c r="V109" s="81">
        <v>0</v>
      </c>
      <c r="W109" s="81">
        <v>0</v>
      </c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</row>
    <row r="110" spans="1:40" ht="16.5" customHeight="1" x14ac:dyDescent="0.3">
      <c r="A110" s="133"/>
      <c r="B110" s="125"/>
      <c r="C110" s="129" t="s">
        <v>190</v>
      </c>
      <c r="D110" s="129"/>
      <c r="E110" s="129" t="s">
        <v>46</v>
      </c>
      <c r="F110" s="129"/>
      <c r="G110" s="80">
        <v>1</v>
      </c>
      <c r="H110" s="80">
        <v>1</v>
      </c>
      <c r="I110" s="81">
        <v>1</v>
      </c>
      <c r="J110" s="81">
        <v>1</v>
      </c>
      <c r="K110" s="81">
        <v>1</v>
      </c>
      <c r="L110" s="81">
        <v>1</v>
      </c>
      <c r="M110" s="81">
        <v>1</v>
      </c>
      <c r="N110" s="81">
        <v>1</v>
      </c>
      <c r="O110" s="81">
        <v>1</v>
      </c>
      <c r="P110" s="81">
        <v>1</v>
      </c>
      <c r="Q110" s="81">
        <v>1</v>
      </c>
      <c r="R110" s="81">
        <v>1</v>
      </c>
      <c r="S110" s="81">
        <v>1</v>
      </c>
      <c r="T110" s="82">
        <v>0</v>
      </c>
      <c r="U110" s="81">
        <v>0</v>
      </c>
      <c r="V110" s="81">
        <v>0</v>
      </c>
      <c r="W110" s="81">
        <v>0</v>
      </c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</row>
    <row r="111" spans="1:40" ht="16.5" customHeight="1" x14ac:dyDescent="0.3">
      <c r="A111" s="133"/>
      <c r="B111" s="125"/>
      <c r="C111" s="129" t="s">
        <v>189</v>
      </c>
      <c r="D111" s="129"/>
      <c r="E111" s="129" t="s">
        <v>46</v>
      </c>
      <c r="F111" s="129"/>
      <c r="G111" s="80">
        <v>1</v>
      </c>
      <c r="H111" s="80">
        <v>1</v>
      </c>
      <c r="I111" s="81">
        <v>1</v>
      </c>
      <c r="J111" s="81">
        <v>1</v>
      </c>
      <c r="K111" s="81">
        <v>1</v>
      </c>
      <c r="L111" s="81">
        <v>1</v>
      </c>
      <c r="M111" s="81">
        <v>1</v>
      </c>
      <c r="N111" s="81">
        <v>1</v>
      </c>
      <c r="O111" s="81">
        <v>1</v>
      </c>
      <c r="P111" s="81">
        <v>1</v>
      </c>
      <c r="Q111" s="81">
        <v>1</v>
      </c>
      <c r="R111" s="81">
        <v>1</v>
      </c>
      <c r="S111" s="81">
        <v>1</v>
      </c>
      <c r="T111" s="82">
        <v>0</v>
      </c>
      <c r="U111" s="81">
        <v>0</v>
      </c>
      <c r="V111" s="81">
        <v>0</v>
      </c>
      <c r="W111" s="81">
        <v>0</v>
      </c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</row>
    <row r="112" spans="1:40" ht="16.5" customHeight="1" x14ac:dyDescent="0.3">
      <c r="A112" s="133"/>
      <c r="B112" s="125"/>
      <c r="C112" s="129" t="s">
        <v>273</v>
      </c>
      <c r="D112" s="129"/>
      <c r="E112" s="129" t="s">
        <v>27</v>
      </c>
      <c r="F112" s="129"/>
      <c r="G112" s="80">
        <v>1</v>
      </c>
      <c r="H112" s="80">
        <v>1</v>
      </c>
      <c r="I112" s="81">
        <v>1</v>
      </c>
      <c r="J112" s="81">
        <v>1</v>
      </c>
      <c r="K112" s="81">
        <v>1</v>
      </c>
      <c r="L112" s="81">
        <v>1</v>
      </c>
      <c r="M112" s="81">
        <v>1</v>
      </c>
      <c r="N112" s="81">
        <v>1</v>
      </c>
      <c r="O112" s="81">
        <v>1</v>
      </c>
      <c r="P112" s="81">
        <v>1</v>
      </c>
      <c r="Q112" s="81">
        <v>1</v>
      </c>
      <c r="R112" s="81">
        <v>1</v>
      </c>
      <c r="S112" s="81">
        <v>1</v>
      </c>
      <c r="T112" s="81">
        <v>1</v>
      </c>
      <c r="U112" s="82">
        <v>0</v>
      </c>
      <c r="V112" s="81">
        <v>0</v>
      </c>
      <c r="W112" s="81">
        <v>0</v>
      </c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</row>
    <row r="113" spans="1:40" ht="16.5" customHeight="1" x14ac:dyDescent="0.3">
      <c r="A113" s="133"/>
      <c r="B113" s="125"/>
      <c r="C113" s="129" t="s">
        <v>274</v>
      </c>
      <c r="D113" s="129"/>
      <c r="E113" s="129" t="s">
        <v>27</v>
      </c>
      <c r="F113" s="129"/>
      <c r="G113" s="80">
        <v>1</v>
      </c>
      <c r="H113" s="80">
        <v>1</v>
      </c>
      <c r="I113" s="81">
        <v>1</v>
      </c>
      <c r="J113" s="81">
        <v>1</v>
      </c>
      <c r="K113" s="81">
        <v>1</v>
      </c>
      <c r="L113" s="81">
        <v>1</v>
      </c>
      <c r="M113" s="81">
        <v>1</v>
      </c>
      <c r="N113" s="81">
        <v>1</v>
      </c>
      <c r="O113" s="81">
        <v>1</v>
      </c>
      <c r="P113" s="81">
        <v>1</v>
      </c>
      <c r="Q113" s="81">
        <v>1</v>
      </c>
      <c r="R113" s="81">
        <v>1</v>
      </c>
      <c r="S113" s="81">
        <v>1</v>
      </c>
      <c r="T113" s="81">
        <v>1</v>
      </c>
      <c r="U113" s="82">
        <v>0</v>
      </c>
      <c r="V113" s="81">
        <v>0</v>
      </c>
      <c r="W113" s="81">
        <v>0</v>
      </c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</row>
    <row r="114" spans="1:40" ht="16.5" customHeight="1" x14ac:dyDescent="0.3">
      <c r="A114" s="133"/>
      <c r="B114" s="125"/>
      <c r="C114" s="129" t="s">
        <v>275</v>
      </c>
      <c r="D114" s="129"/>
      <c r="E114" s="129" t="s">
        <v>27</v>
      </c>
      <c r="F114" s="129"/>
      <c r="G114" s="80">
        <v>1</v>
      </c>
      <c r="H114" s="80">
        <v>1</v>
      </c>
      <c r="I114" s="81">
        <v>1</v>
      </c>
      <c r="J114" s="81">
        <v>1</v>
      </c>
      <c r="K114" s="81">
        <v>1</v>
      </c>
      <c r="L114" s="81">
        <v>1</v>
      </c>
      <c r="M114" s="81">
        <v>1</v>
      </c>
      <c r="N114" s="81">
        <v>1</v>
      </c>
      <c r="O114" s="81">
        <v>1</v>
      </c>
      <c r="P114" s="81">
        <v>1</v>
      </c>
      <c r="Q114" s="81">
        <v>1</v>
      </c>
      <c r="R114" s="81">
        <v>1</v>
      </c>
      <c r="S114" s="81">
        <v>1</v>
      </c>
      <c r="T114" s="81">
        <v>1</v>
      </c>
      <c r="U114" s="82">
        <v>0</v>
      </c>
      <c r="V114" s="81">
        <v>0</v>
      </c>
      <c r="W114" s="81">
        <v>0</v>
      </c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</row>
    <row r="115" spans="1:40" ht="16.5" customHeight="1" x14ac:dyDescent="0.3">
      <c r="A115" s="133"/>
      <c r="B115" s="125" t="s">
        <v>113</v>
      </c>
      <c r="C115" s="129" t="s">
        <v>188</v>
      </c>
      <c r="D115" s="129"/>
      <c r="E115" s="129" t="s">
        <v>44</v>
      </c>
      <c r="F115" s="129"/>
      <c r="G115" s="80">
        <v>0.5</v>
      </c>
      <c r="H115" s="80">
        <v>0.5</v>
      </c>
      <c r="I115" s="81">
        <v>0.5</v>
      </c>
      <c r="J115" s="81">
        <v>0.5</v>
      </c>
      <c r="K115" s="81">
        <v>0.5</v>
      </c>
      <c r="L115" s="81">
        <v>0.5</v>
      </c>
      <c r="M115" s="81">
        <v>0.5</v>
      </c>
      <c r="N115" s="81">
        <v>0.5</v>
      </c>
      <c r="O115" s="81">
        <v>0.5</v>
      </c>
      <c r="P115" s="81">
        <v>0.5</v>
      </c>
      <c r="Q115" s="81">
        <v>0.5</v>
      </c>
      <c r="R115" s="81">
        <v>0.5</v>
      </c>
      <c r="S115" s="81">
        <v>0.5</v>
      </c>
      <c r="T115" s="81">
        <v>0.5</v>
      </c>
      <c r="U115" s="82">
        <v>0</v>
      </c>
      <c r="V115" s="81">
        <v>0</v>
      </c>
      <c r="W115" s="81">
        <v>0</v>
      </c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</row>
    <row r="116" spans="1:40" ht="16.5" customHeight="1" x14ac:dyDescent="0.3">
      <c r="A116" s="133"/>
      <c r="B116" s="125"/>
      <c r="C116" s="129" t="s">
        <v>187</v>
      </c>
      <c r="D116" s="129"/>
      <c r="E116" s="129" t="s">
        <v>44</v>
      </c>
      <c r="F116" s="129"/>
      <c r="G116" s="80">
        <v>0.5</v>
      </c>
      <c r="H116" s="80">
        <v>0.5</v>
      </c>
      <c r="I116" s="81">
        <v>0.5</v>
      </c>
      <c r="J116" s="81">
        <v>0.5</v>
      </c>
      <c r="K116" s="81">
        <v>0.5</v>
      </c>
      <c r="L116" s="81">
        <v>0.5</v>
      </c>
      <c r="M116" s="81">
        <v>0.5</v>
      </c>
      <c r="N116" s="81">
        <v>0.5</v>
      </c>
      <c r="O116" s="81">
        <v>0.5</v>
      </c>
      <c r="P116" s="81">
        <v>0.5</v>
      </c>
      <c r="Q116" s="81">
        <v>0.5</v>
      </c>
      <c r="R116" s="81">
        <v>0.5</v>
      </c>
      <c r="S116" s="81">
        <v>0.5</v>
      </c>
      <c r="T116" s="81">
        <v>0.5</v>
      </c>
      <c r="U116" s="82">
        <v>0</v>
      </c>
      <c r="V116" s="81">
        <v>0</v>
      </c>
      <c r="W116" s="81">
        <v>0</v>
      </c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</row>
    <row r="117" spans="1:40" ht="16.5" customHeight="1" x14ac:dyDescent="0.3">
      <c r="A117" s="133"/>
      <c r="B117" s="125"/>
      <c r="C117" s="129" t="s">
        <v>186</v>
      </c>
      <c r="D117" s="129"/>
      <c r="E117" s="129" t="s">
        <v>44</v>
      </c>
      <c r="F117" s="129"/>
      <c r="G117" s="80">
        <v>1</v>
      </c>
      <c r="H117" s="80">
        <v>1</v>
      </c>
      <c r="I117" s="81">
        <v>1</v>
      </c>
      <c r="J117" s="81">
        <v>1</v>
      </c>
      <c r="K117" s="81">
        <v>1</v>
      </c>
      <c r="L117" s="81">
        <v>1</v>
      </c>
      <c r="M117" s="81">
        <v>1</v>
      </c>
      <c r="N117" s="81">
        <v>1</v>
      </c>
      <c r="O117" s="81">
        <v>1</v>
      </c>
      <c r="P117" s="81">
        <v>1</v>
      </c>
      <c r="Q117" s="81">
        <v>1</v>
      </c>
      <c r="R117" s="81">
        <v>1</v>
      </c>
      <c r="S117" s="81">
        <v>1</v>
      </c>
      <c r="T117" s="81">
        <v>1</v>
      </c>
      <c r="U117" s="82">
        <v>0</v>
      </c>
      <c r="V117" s="81">
        <v>0</v>
      </c>
      <c r="W117" s="81">
        <v>0</v>
      </c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</row>
    <row r="118" spans="1:40" ht="16.5" customHeight="1" x14ac:dyDescent="0.3">
      <c r="A118" s="133"/>
      <c r="B118" s="125"/>
      <c r="C118" s="129" t="s">
        <v>185</v>
      </c>
      <c r="D118" s="129"/>
      <c r="E118" s="129" t="s">
        <v>44</v>
      </c>
      <c r="F118" s="129"/>
      <c r="G118" s="80">
        <v>0.5</v>
      </c>
      <c r="H118" s="80">
        <v>0.5</v>
      </c>
      <c r="I118" s="81">
        <v>0.5</v>
      </c>
      <c r="J118" s="81">
        <v>0.5</v>
      </c>
      <c r="K118" s="81">
        <v>0.5</v>
      </c>
      <c r="L118" s="81">
        <v>0.5</v>
      </c>
      <c r="M118" s="81">
        <v>0.5</v>
      </c>
      <c r="N118" s="81">
        <v>0.5</v>
      </c>
      <c r="O118" s="81">
        <v>0.5</v>
      </c>
      <c r="P118" s="81">
        <v>0.5</v>
      </c>
      <c r="Q118" s="81">
        <v>0.5</v>
      </c>
      <c r="R118" s="81">
        <v>0.5</v>
      </c>
      <c r="S118" s="81">
        <v>0.5</v>
      </c>
      <c r="T118" s="81">
        <v>0.5</v>
      </c>
      <c r="U118" s="82">
        <v>0</v>
      </c>
      <c r="V118" s="81">
        <v>0</v>
      </c>
      <c r="W118" s="81">
        <v>0</v>
      </c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</row>
    <row r="119" spans="1:40" ht="16.5" customHeight="1" x14ac:dyDescent="0.3">
      <c r="A119" s="133"/>
      <c r="B119" s="125"/>
      <c r="C119" s="129" t="s">
        <v>184</v>
      </c>
      <c r="D119" s="129"/>
      <c r="E119" s="129" t="s">
        <v>44</v>
      </c>
      <c r="F119" s="129"/>
      <c r="G119" s="80">
        <v>1.5</v>
      </c>
      <c r="H119" s="80">
        <v>1.5</v>
      </c>
      <c r="I119" s="81">
        <v>1.5</v>
      </c>
      <c r="J119" s="81">
        <v>1.5</v>
      </c>
      <c r="K119" s="81">
        <v>1.5</v>
      </c>
      <c r="L119" s="81">
        <v>1.5</v>
      </c>
      <c r="M119" s="81">
        <v>1.5</v>
      </c>
      <c r="N119" s="81">
        <v>1.5</v>
      </c>
      <c r="O119" s="81">
        <v>1.5</v>
      </c>
      <c r="P119" s="81">
        <v>1.5</v>
      </c>
      <c r="Q119" s="81">
        <v>1.5</v>
      </c>
      <c r="R119" s="81">
        <v>1.5</v>
      </c>
      <c r="S119" s="81">
        <v>1.5</v>
      </c>
      <c r="T119" s="81">
        <v>1.5</v>
      </c>
      <c r="U119" s="82">
        <v>0</v>
      </c>
      <c r="V119" s="81">
        <v>0</v>
      </c>
      <c r="W119" s="81">
        <v>0</v>
      </c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</row>
    <row r="120" spans="1:40" ht="16.5" customHeight="1" x14ac:dyDescent="0.3">
      <c r="A120" s="133"/>
      <c r="B120" s="125"/>
      <c r="C120" s="129" t="s">
        <v>183</v>
      </c>
      <c r="D120" s="129"/>
      <c r="E120" s="129" t="s">
        <v>44</v>
      </c>
      <c r="F120" s="129"/>
      <c r="G120" s="80">
        <v>0.5</v>
      </c>
      <c r="H120" s="80">
        <v>0.5</v>
      </c>
      <c r="I120" s="81">
        <v>0.5</v>
      </c>
      <c r="J120" s="81">
        <v>0.5</v>
      </c>
      <c r="K120" s="81">
        <v>0.5</v>
      </c>
      <c r="L120" s="81">
        <v>0.5</v>
      </c>
      <c r="M120" s="81">
        <v>0.5</v>
      </c>
      <c r="N120" s="81">
        <v>0.5</v>
      </c>
      <c r="O120" s="81">
        <v>0.5</v>
      </c>
      <c r="P120" s="81">
        <v>0.5</v>
      </c>
      <c r="Q120" s="81">
        <v>0.5</v>
      </c>
      <c r="R120" s="81">
        <v>0.5</v>
      </c>
      <c r="S120" s="81">
        <v>0.5</v>
      </c>
      <c r="T120" s="81">
        <v>0.5</v>
      </c>
      <c r="U120" s="82">
        <v>0</v>
      </c>
      <c r="V120" s="81">
        <v>0</v>
      </c>
      <c r="W120" s="81">
        <v>0</v>
      </c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</row>
    <row r="121" spans="1:40" ht="16.5" customHeight="1" x14ac:dyDescent="0.3">
      <c r="A121" s="133"/>
      <c r="B121" s="125"/>
      <c r="C121" s="129" t="s">
        <v>182</v>
      </c>
      <c r="D121" s="129"/>
      <c r="E121" s="129" t="s">
        <v>44</v>
      </c>
      <c r="F121" s="129"/>
      <c r="G121" s="80">
        <v>0.5</v>
      </c>
      <c r="H121" s="80">
        <v>0.5</v>
      </c>
      <c r="I121" s="81">
        <v>0.5</v>
      </c>
      <c r="J121" s="81">
        <v>0.5</v>
      </c>
      <c r="K121" s="81">
        <v>0.5</v>
      </c>
      <c r="L121" s="81">
        <v>0.5</v>
      </c>
      <c r="M121" s="81">
        <v>0.5</v>
      </c>
      <c r="N121" s="81">
        <v>0.5</v>
      </c>
      <c r="O121" s="81">
        <v>0.5</v>
      </c>
      <c r="P121" s="81">
        <v>0.5</v>
      </c>
      <c r="Q121" s="81">
        <v>0.5</v>
      </c>
      <c r="R121" s="81">
        <v>0.5</v>
      </c>
      <c r="S121" s="81">
        <v>0.5</v>
      </c>
      <c r="T121" s="81">
        <v>0.5</v>
      </c>
      <c r="U121" s="82">
        <v>0</v>
      </c>
      <c r="V121" s="81">
        <v>0</v>
      </c>
      <c r="W121" s="81">
        <v>0</v>
      </c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</row>
    <row r="122" spans="1:40" ht="16.5" customHeight="1" x14ac:dyDescent="0.3">
      <c r="A122" s="133"/>
      <c r="B122" s="125"/>
      <c r="C122" s="129" t="s">
        <v>181</v>
      </c>
      <c r="D122" s="129"/>
      <c r="E122" s="129" t="s">
        <v>44</v>
      </c>
      <c r="F122" s="129"/>
      <c r="G122" s="80">
        <v>0.5</v>
      </c>
      <c r="H122" s="80">
        <v>0.5</v>
      </c>
      <c r="I122" s="81">
        <v>0.5</v>
      </c>
      <c r="J122" s="81">
        <v>0.5</v>
      </c>
      <c r="K122" s="81">
        <v>0.5</v>
      </c>
      <c r="L122" s="81">
        <v>0.5</v>
      </c>
      <c r="M122" s="81">
        <v>0.5</v>
      </c>
      <c r="N122" s="81">
        <v>0.5</v>
      </c>
      <c r="O122" s="81">
        <v>0.5</v>
      </c>
      <c r="P122" s="81">
        <v>0.5</v>
      </c>
      <c r="Q122" s="81">
        <v>0.5</v>
      </c>
      <c r="R122" s="81">
        <v>0.5</v>
      </c>
      <c r="S122" s="81">
        <v>0.5</v>
      </c>
      <c r="T122" s="81">
        <v>0.5</v>
      </c>
      <c r="U122" s="82">
        <v>0</v>
      </c>
      <c r="V122" s="81">
        <v>0</v>
      </c>
      <c r="W122" s="81">
        <v>0</v>
      </c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</row>
    <row r="123" spans="1:40" ht="16.5" customHeight="1" x14ac:dyDescent="0.3">
      <c r="A123" s="133"/>
      <c r="B123" s="125"/>
      <c r="C123" s="129" t="s">
        <v>180</v>
      </c>
      <c r="D123" s="129"/>
      <c r="E123" s="129" t="s">
        <v>44</v>
      </c>
      <c r="F123" s="129"/>
      <c r="G123" s="80">
        <v>0.5</v>
      </c>
      <c r="H123" s="80">
        <v>0.5</v>
      </c>
      <c r="I123" s="81">
        <v>0.5</v>
      </c>
      <c r="J123" s="81">
        <v>0.5</v>
      </c>
      <c r="K123" s="81">
        <v>0.5</v>
      </c>
      <c r="L123" s="81">
        <v>0.5</v>
      </c>
      <c r="M123" s="81">
        <v>0.5</v>
      </c>
      <c r="N123" s="81">
        <v>0.5</v>
      </c>
      <c r="O123" s="81">
        <v>0.5</v>
      </c>
      <c r="P123" s="81">
        <v>0.5</v>
      </c>
      <c r="Q123" s="81">
        <v>0.5</v>
      </c>
      <c r="R123" s="81">
        <v>0.5</v>
      </c>
      <c r="S123" s="81">
        <v>0.5</v>
      </c>
      <c r="T123" s="81">
        <v>0.5</v>
      </c>
      <c r="U123" s="81">
        <v>0.5</v>
      </c>
      <c r="V123" s="82">
        <v>0</v>
      </c>
      <c r="W123" s="81">
        <v>0</v>
      </c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</row>
    <row r="124" spans="1:40" ht="16.5" customHeight="1" x14ac:dyDescent="0.3">
      <c r="A124" s="133"/>
      <c r="B124" s="125"/>
      <c r="C124" s="129" t="s">
        <v>276</v>
      </c>
      <c r="D124" s="129"/>
      <c r="E124" s="129" t="s">
        <v>44</v>
      </c>
      <c r="F124" s="129"/>
      <c r="G124" s="80">
        <v>0.5</v>
      </c>
      <c r="H124" s="80">
        <v>0.5</v>
      </c>
      <c r="I124" s="81">
        <v>0.5</v>
      </c>
      <c r="J124" s="81">
        <v>0.5</v>
      </c>
      <c r="K124" s="81">
        <v>0.5</v>
      </c>
      <c r="L124" s="81">
        <v>0.5</v>
      </c>
      <c r="M124" s="81">
        <v>0.5</v>
      </c>
      <c r="N124" s="81">
        <v>0.5</v>
      </c>
      <c r="O124" s="81">
        <v>0.5</v>
      </c>
      <c r="P124" s="81">
        <v>0.5</v>
      </c>
      <c r="Q124" s="81">
        <v>0.5</v>
      </c>
      <c r="R124" s="81">
        <v>0.5</v>
      </c>
      <c r="S124" s="81">
        <v>0.5</v>
      </c>
      <c r="T124" s="81">
        <v>0.5</v>
      </c>
      <c r="U124" s="81">
        <v>0.5</v>
      </c>
      <c r="V124" s="82">
        <v>0</v>
      </c>
      <c r="W124" s="81">
        <v>0</v>
      </c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</row>
    <row r="125" spans="1:40" ht="16.5" customHeight="1" x14ac:dyDescent="0.3">
      <c r="A125" s="133"/>
      <c r="B125" s="125"/>
      <c r="C125" s="129" t="s">
        <v>277</v>
      </c>
      <c r="D125" s="129"/>
      <c r="E125" s="129" t="s">
        <v>44</v>
      </c>
      <c r="F125" s="129"/>
      <c r="G125" s="80"/>
      <c r="H125" s="80">
        <v>0.5</v>
      </c>
      <c r="I125" s="81">
        <v>0.5</v>
      </c>
      <c r="J125" s="81">
        <v>0.5</v>
      </c>
      <c r="K125" s="81">
        <v>0.5</v>
      </c>
      <c r="L125" s="81">
        <v>0.5</v>
      </c>
      <c r="M125" s="81">
        <v>0.5</v>
      </c>
      <c r="N125" s="81">
        <v>0.5</v>
      </c>
      <c r="O125" s="81">
        <v>0.5</v>
      </c>
      <c r="P125" s="81">
        <v>0.5</v>
      </c>
      <c r="Q125" s="81">
        <v>0.5</v>
      </c>
      <c r="R125" s="81">
        <v>0.5</v>
      </c>
      <c r="S125" s="81">
        <v>0.5</v>
      </c>
      <c r="T125" s="81">
        <v>0.5</v>
      </c>
      <c r="U125" s="81">
        <v>0.5</v>
      </c>
      <c r="V125" s="82">
        <v>0</v>
      </c>
      <c r="W125" s="81">
        <v>0</v>
      </c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</row>
    <row r="126" spans="1:40" ht="16.5" customHeight="1" x14ac:dyDescent="0.3">
      <c r="A126" s="133"/>
      <c r="B126" s="125"/>
      <c r="C126" s="129" t="s">
        <v>278</v>
      </c>
      <c r="D126" s="129"/>
      <c r="E126" s="129" t="s">
        <v>44</v>
      </c>
      <c r="F126" s="129"/>
      <c r="G126" s="80">
        <v>1</v>
      </c>
      <c r="H126" s="80">
        <v>1</v>
      </c>
      <c r="I126" s="80">
        <v>1</v>
      </c>
      <c r="J126" s="80">
        <v>1</v>
      </c>
      <c r="K126" s="80">
        <v>1</v>
      </c>
      <c r="L126" s="80">
        <v>1</v>
      </c>
      <c r="M126" s="80">
        <v>1</v>
      </c>
      <c r="N126" s="80">
        <v>1</v>
      </c>
      <c r="O126" s="80">
        <v>1</v>
      </c>
      <c r="P126" s="80">
        <v>1</v>
      </c>
      <c r="Q126" s="80">
        <v>1</v>
      </c>
      <c r="R126" s="80">
        <v>1</v>
      </c>
      <c r="S126" s="80">
        <v>1</v>
      </c>
      <c r="T126" s="80">
        <v>1</v>
      </c>
      <c r="U126" s="80">
        <v>1</v>
      </c>
      <c r="V126" s="82">
        <v>0</v>
      </c>
      <c r="W126" s="81">
        <v>0</v>
      </c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</row>
    <row r="127" spans="1:40" ht="16.5" customHeight="1" x14ac:dyDescent="0.3">
      <c r="A127" s="133"/>
      <c r="B127" s="80" t="s">
        <v>179</v>
      </c>
      <c r="C127" s="129" t="s">
        <v>178</v>
      </c>
      <c r="D127" s="129"/>
      <c r="E127" s="129" t="s">
        <v>25</v>
      </c>
      <c r="F127" s="129"/>
      <c r="G127" s="80">
        <v>2</v>
      </c>
      <c r="H127" s="80">
        <v>2</v>
      </c>
      <c r="I127" s="81">
        <v>2</v>
      </c>
      <c r="J127" s="81">
        <v>2</v>
      </c>
      <c r="K127" s="81">
        <v>2</v>
      </c>
      <c r="L127" s="81">
        <v>2</v>
      </c>
      <c r="M127" s="81">
        <v>2</v>
      </c>
      <c r="N127" s="81">
        <v>2</v>
      </c>
      <c r="O127" s="81">
        <v>2</v>
      </c>
      <c r="P127" s="81">
        <v>2</v>
      </c>
      <c r="Q127" s="81">
        <v>2</v>
      </c>
      <c r="R127" s="81">
        <v>2</v>
      </c>
      <c r="S127" s="81">
        <v>2</v>
      </c>
      <c r="T127" s="81">
        <v>2</v>
      </c>
      <c r="U127" s="81">
        <v>2</v>
      </c>
      <c r="V127" s="81">
        <v>2</v>
      </c>
      <c r="W127" s="82">
        <v>0</v>
      </c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</row>
    <row r="128" spans="1:40" ht="16.5" customHeight="1" x14ac:dyDescent="0.3">
      <c r="A128" s="133"/>
      <c r="B128" s="80"/>
      <c r="C128" s="129" t="s">
        <v>177</v>
      </c>
      <c r="D128" s="129"/>
      <c r="E128" s="129" t="s">
        <v>25</v>
      </c>
      <c r="F128" s="129"/>
      <c r="G128" s="80">
        <v>2</v>
      </c>
      <c r="H128" s="80">
        <v>2</v>
      </c>
      <c r="I128" s="81">
        <v>2</v>
      </c>
      <c r="J128" s="81">
        <v>2</v>
      </c>
      <c r="K128" s="81">
        <v>2</v>
      </c>
      <c r="L128" s="81">
        <v>2</v>
      </c>
      <c r="M128" s="81">
        <v>2</v>
      </c>
      <c r="N128" s="81">
        <v>2</v>
      </c>
      <c r="O128" s="81">
        <v>2</v>
      </c>
      <c r="P128" s="81">
        <v>2</v>
      </c>
      <c r="Q128" s="81">
        <v>2</v>
      </c>
      <c r="R128" s="81">
        <v>2</v>
      </c>
      <c r="S128" s="81">
        <v>2</v>
      </c>
      <c r="T128" s="81">
        <v>2</v>
      </c>
      <c r="U128" s="81">
        <v>2</v>
      </c>
      <c r="V128" s="81">
        <v>2</v>
      </c>
      <c r="W128" s="82">
        <v>0</v>
      </c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</row>
    <row r="129" spans="1:40" ht="16.5" customHeight="1" x14ac:dyDescent="0.3">
      <c r="A129" s="133"/>
      <c r="B129" s="134" t="s">
        <v>19</v>
      </c>
      <c r="C129" s="133"/>
      <c r="D129" s="133"/>
      <c r="E129" s="139" t="s">
        <v>129</v>
      </c>
      <c r="F129" s="133"/>
      <c r="G129" s="140">
        <f>SUM(G16:G128)</f>
        <v>148.5</v>
      </c>
      <c r="H129" s="133"/>
      <c r="I129" s="81">
        <f>SUM(I16:I128)</f>
        <v>151</v>
      </c>
      <c r="J129" s="81">
        <f>SUM(J16:J128)-J19</f>
        <v>138</v>
      </c>
      <c r="K129" s="81">
        <f>SUM(K16:K128)+K25-K33</f>
        <v>127</v>
      </c>
      <c r="L129" s="81">
        <f>SUM(L16:L128)+L40</f>
        <v>118</v>
      </c>
      <c r="M129" s="81">
        <f>SUM(M16:M128)</f>
        <v>105</v>
      </c>
      <c r="N129" s="81">
        <f>SUM(N16:N128)-N52</f>
        <v>90</v>
      </c>
      <c r="O129" s="81">
        <f>SUM(O16:O128)+O62+O64</f>
        <v>85</v>
      </c>
      <c r="P129" s="81">
        <f>SUM(P16:P128)</f>
        <v>73</v>
      </c>
      <c r="Q129" s="81">
        <f>SUM(Q16:Q128)-Q70-Q72</f>
        <v>62</v>
      </c>
      <c r="R129" s="81">
        <f>SUM(R16:R128)+R85</f>
        <v>50</v>
      </c>
      <c r="S129" s="81">
        <f>SUM(S16:S128)+S97+S99</f>
        <v>33</v>
      </c>
      <c r="T129" s="81">
        <f>SUM(T16:T128)</f>
        <v>15</v>
      </c>
      <c r="U129" s="81">
        <f>SUM(U16:U128)</f>
        <v>6.5</v>
      </c>
      <c r="V129" s="81">
        <f>SUM(V16:V128)</f>
        <v>4</v>
      </c>
      <c r="W129" s="81">
        <f>SUM(W16:W128)</f>
        <v>0</v>
      </c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</row>
    <row r="130" spans="1:40" ht="16.5" customHeight="1" x14ac:dyDescent="0.3">
      <c r="A130" s="133"/>
      <c r="B130" s="133"/>
      <c r="C130" s="133"/>
      <c r="D130" s="133"/>
      <c r="E130" s="139" t="s">
        <v>130</v>
      </c>
      <c r="F130" s="133"/>
      <c r="G130" s="140">
        <f>SUM(H16:H128)</f>
        <v>151</v>
      </c>
      <c r="H130" s="133"/>
      <c r="I130" s="81">
        <f>SUM(I16:I128)</f>
        <v>151</v>
      </c>
      <c r="J130" s="81">
        <f t="shared" ref="J130:W130" si="0">SUM(J16:J128)</f>
        <v>141</v>
      </c>
      <c r="K130" s="81">
        <f t="shared" si="0"/>
        <v>127</v>
      </c>
      <c r="L130" s="81">
        <f t="shared" si="0"/>
        <v>116</v>
      </c>
      <c r="M130" s="81">
        <f t="shared" si="0"/>
        <v>105</v>
      </c>
      <c r="N130" s="81">
        <f t="shared" si="0"/>
        <v>91</v>
      </c>
      <c r="O130" s="81">
        <f t="shared" si="0"/>
        <v>81</v>
      </c>
      <c r="P130" s="81">
        <f t="shared" si="0"/>
        <v>73</v>
      </c>
      <c r="Q130" s="81">
        <f t="shared" si="0"/>
        <v>64</v>
      </c>
      <c r="R130" s="81">
        <f t="shared" si="0"/>
        <v>49</v>
      </c>
      <c r="S130" s="81">
        <f t="shared" si="0"/>
        <v>31</v>
      </c>
      <c r="T130" s="81">
        <f t="shared" si="0"/>
        <v>15</v>
      </c>
      <c r="U130" s="81">
        <f t="shared" si="0"/>
        <v>6.5</v>
      </c>
      <c r="V130" s="81">
        <f t="shared" si="0"/>
        <v>4</v>
      </c>
      <c r="W130" s="81">
        <f t="shared" si="0"/>
        <v>0</v>
      </c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</row>
    <row r="131" spans="1:40" ht="16.5" customHeight="1" x14ac:dyDescent="0.3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</row>
    <row r="132" spans="1:40" ht="16.5" customHeight="1" x14ac:dyDescent="0.3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</row>
    <row r="133" spans="1:40" ht="16.5" customHeight="1" x14ac:dyDescent="0.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</row>
    <row r="134" spans="1:40" ht="16.5" customHeight="1" x14ac:dyDescent="0.3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</row>
    <row r="135" spans="1:40" ht="16.5" customHeight="1" x14ac:dyDescent="0.3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</row>
    <row r="136" spans="1:40" ht="16.5" customHeight="1" x14ac:dyDescent="0.3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</row>
    <row r="137" spans="1:40" ht="16.5" customHeight="1" x14ac:dyDescent="0.3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</row>
    <row r="138" spans="1:40" ht="16.5" customHeight="1" x14ac:dyDescent="0.3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</row>
    <row r="139" spans="1:40" ht="16.5" customHeight="1" x14ac:dyDescent="0.3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</row>
    <row r="140" spans="1:40" ht="16.5" customHeight="1" x14ac:dyDescent="0.3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</row>
    <row r="141" spans="1:40" ht="16.5" customHeight="1" x14ac:dyDescent="0.3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</row>
    <row r="142" spans="1:40" ht="16.5" customHeight="1" x14ac:dyDescent="0.3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</row>
    <row r="143" spans="1:40" ht="16.5" customHeight="1" x14ac:dyDescent="0.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</row>
    <row r="144" spans="1:40" ht="16.5" customHeight="1" x14ac:dyDescent="0.3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</row>
    <row r="145" spans="1:40" ht="16.5" customHeight="1" x14ac:dyDescent="0.3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</row>
    <row r="146" spans="1:40" ht="16.5" customHeight="1" x14ac:dyDescent="0.3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</row>
    <row r="147" spans="1:40" ht="16.5" customHeight="1" x14ac:dyDescent="0.3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</row>
    <row r="148" spans="1:40" ht="16.5" customHeight="1" x14ac:dyDescent="0.3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</row>
    <row r="149" spans="1:40" ht="16.5" customHeight="1" x14ac:dyDescent="0.3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</row>
    <row r="150" spans="1:40" ht="16.5" customHeight="1" x14ac:dyDescent="0.3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</row>
    <row r="151" spans="1:40" ht="16.5" customHeight="1" x14ac:dyDescent="0.3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</row>
    <row r="152" spans="1:40" ht="16.5" customHeight="1" x14ac:dyDescent="0.3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</row>
    <row r="153" spans="1:40" ht="16.5" customHeight="1" x14ac:dyDescent="0.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</row>
    <row r="154" spans="1:40" ht="16.5" customHeight="1" x14ac:dyDescent="0.3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</row>
    <row r="155" spans="1:40" ht="16.5" customHeight="1" x14ac:dyDescent="0.3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</row>
    <row r="156" spans="1:40" ht="16.5" customHeight="1" x14ac:dyDescent="0.3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</row>
    <row r="157" spans="1:40" ht="16.5" customHeight="1" x14ac:dyDescent="0.3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</row>
    <row r="158" spans="1:40" ht="16.5" customHeight="1" x14ac:dyDescent="0.3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</row>
    <row r="159" spans="1:40" ht="16.5" customHeight="1" x14ac:dyDescent="0.3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</row>
    <row r="160" spans="1:40" ht="16.5" customHeight="1" x14ac:dyDescent="0.3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</row>
    <row r="161" spans="1:40" ht="16.5" customHeight="1" x14ac:dyDescent="0.3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</row>
    <row r="162" spans="1:40" ht="16.5" customHeight="1" x14ac:dyDescent="0.3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</row>
    <row r="163" spans="1:40" ht="16.5" customHeight="1" x14ac:dyDescent="0.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</row>
    <row r="164" spans="1:40" ht="16.5" customHeight="1" x14ac:dyDescent="0.3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</row>
    <row r="165" spans="1:40" ht="16.5" customHeight="1" x14ac:dyDescent="0.3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</row>
    <row r="166" spans="1:40" ht="16.5" customHeight="1" x14ac:dyDescent="0.3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</row>
    <row r="167" spans="1:40" ht="16.5" customHeight="1" x14ac:dyDescent="0.3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</row>
    <row r="168" spans="1:40" ht="16.5" customHeight="1" x14ac:dyDescent="0.3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</row>
    <row r="169" spans="1:40" ht="16.5" customHeight="1" x14ac:dyDescent="0.3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</row>
    <row r="170" spans="1:40" ht="16.5" customHeight="1" x14ac:dyDescent="0.3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</row>
    <row r="171" spans="1:40" ht="16.5" customHeight="1" x14ac:dyDescent="0.3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</row>
    <row r="172" spans="1:40" ht="16.5" customHeight="1" x14ac:dyDescent="0.3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</row>
    <row r="173" spans="1:40" ht="16.5" customHeight="1" x14ac:dyDescent="0.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</row>
    <row r="174" spans="1:40" ht="16.5" customHeight="1" x14ac:dyDescent="0.3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</row>
    <row r="175" spans="1:40" ht="16.5" customHeight="1" x14ac:dyDescent="0.3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</row>
    <row r="176" spans="1:40" ht="16.5" customHeight="1" x14ac:dyDescent="0.3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</row>
    <row r="177" spans="1:40" ht="16.5" customHeight="1" x14ac:dyDescent="0.3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</row>
    <row r="178" spans="1:40" ht="16.5" customHeight="1" x14ac:dyDescent="0.3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</row>
    <row r="179" spans="1:40" ht="16.5" customHeight="1" x14ac:dyDescent="0.3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</row>
    <row r="180" spans="1:40" ht="16.5" customHeight="1" x14ac:dyDescent="0.3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</row>
    <row r="181" spans="1:40" ht="16.5" customHeight="1" x14ac:dyDescent="0.3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</row>
    <row r="182" spans="1:40" ht="16.5" customHeight="1" x14ac:dyDescent="0.3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</row>
    <row r="183" spans="1:40" ht="16.5" customHeight="1" x14ac:dyDescent="0.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</row>
    <row r="184" spans="1:40" ht="16.5" customHeight="1" x14ac:dyDescent="0.3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</row>
    <row r="185" spans="1:40" ht="16.5" customHeight="1" x14ac:dyDescent="0.3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</row>
    <row r="186" spans="1:40" ht="16.5" customHeight="1" x14ac:dyDescent="0.3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</row>
    <row r="187" spans="1:40" ht="16.5" customHeight="1" x14ac:dyDescent="0.3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</row>
    <row r="188" spans="1:40" ht="16.5" customHeight="1" x14ac:dyDescent="0.3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</row>
    <row r="189" spans="1:40" ht="16.5" customHeight="1" x14ac:dyDescent="0.3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</row>
    <row r="190" spans="1:40" ht="16.5" customHeight="1" x14ac:dyDescent="0.3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</row>
    <row r="191" spans="1:40" ht="16.5" customHeight="1" x14ac:dyDescent="0.3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</row>
    <row r="192" spans="1:40" ht="16.5" customHeight="1" x14ac:dyDescent="0.3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</row>
    <row r="193" spans="1:40" ht="16.5" customHeight="1" x14ac:dyDescent="0.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</row>
    <row r="194" spans="1:40" ht="16.5" customHeight="1" x14ac:dyDescent="0.3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</row>
    <row r="195" spans="1:40" ht="16.5" customHeight="1" x14ac:dyDescent="0.3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</row>
    <row r="196" spans="1:40" ht="16.5" customHeight="1" x14ac:dyDescent="0.3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</row>
    <row r="197" spans="1:40" ht="16.5" customHeight="1" x14ac:dyDescent="0.3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</row>
    <row r="198" spans="1:40" ht="16.5" customHeight="1" x14ac:dyDescent="0.3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</row>
    <row r="199" spans="1:40" ht="16.5" customHeight="1" x14ac:dyDescent="0.3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</row>
    <row r="200" spans="1:40" ht="16.5" customHeight="1" x14ac:dyDescent="0.3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</row>
    <row r="201" spans="1:40" ht="16.5" customHeight="1" x14ac:dyDescent="0.3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</row>
    <row r="202" spans="1:40" ht="16.5" customHeight="1" x14ac:dyDescent="0.3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</row>
    <row r="203" spans="1:40" ht="16.5" customHeight="1" x14ac:dyDescent="0.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</row>
    <row r="204" spans="1:40" ht="16.5" customHeight="1" x14ac:dyDescent="0.3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</row>
    <row r="205" spans="1:40" ht="16.5" customHeight="1" x14ac:dyDescent="0.3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</row>
    <row r="206" spans="1:40" ht="16.5" customHeight="1" x14ac:dyDescent="0.3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</row>
    <row r="207" spans="1:40" ht="16.5" customHeight="1" x14ac:dyDescent="0.3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</row>
    <row r="208" spans="1:40" ht="16.5" customHeight="1" x14ac:dyDescent="0.3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</row>
    <row r="209" spans="1:40" ht="16.5" customHeight="1" x14ac:dyDescent="0.3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</row>
    <row r="210" spans="1:40" ht="16.5" customHeight="1" x14ac:dyDescent="0.3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</row>
    <row r="211" spans="1:40" ht="16.5" customHeight="1" x14ac:dyDescent="0.3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</row>
    <row r="212" spans="1:40" ht="16.5" customHeight="1" x14ac:dyDescent="0.3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</row>
    <row r="213" spans="1:40" ht="16.5" customHeight="1" x14ac:dyDescent="0.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</row>
    <row r="214" spans="1:40" ht="16.5" customHeight="1" x14ac:dyDescent="0.3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</row>
    <row r="215" spans="1:40" ht="16.5" customHeight="1" x14ac:dyDescent="0.3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</row>
    <row r="216" spans="1:40" ht="16.5" customHeight="1" x14ac:dyDescent="0.3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</row>
    <row r="217" spans="1:40" ht="16.5" customHeight="1" x14ac:dyDescent="0.3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</row>
    <row r="218" spans="1:40" ht="16.5" customHeight="1" x14ac:dyDescent="0.3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</row>
    <row r="219" spans="1:40" ht="16.5" customHeight="1" x14ac:dyDescent="0.3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</row>
    <row r="220" spans="1:40" ht="16.5" customHeight="1" x14ac:dyDescent="0.3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</row>
    <row r="221" spans="1:40" ht="16.5" customHeight="1" x14ac:dyDescent="0.3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</row>
    <row r="222" spans="1:40" ht="16.5" customHeight="1" x14ac:dyDescent="0.3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</row>
    <row r="223" spans="1:40" ht="16.5" customHeight="1" x14ac:dyDescent="0.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</row>
    <row r="224" spans="1:40" ht="16.5" customHeight="1" x14ac:dyDescent="0.3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</row>
    <row r="225" spans="1:40" ht="16.5" customHeight="1" x14ac:dyDescent="0.3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</row>
    <row r="226" spans="1:40" ht="16.5" customHeight="1" x14ac:dyDescent="0.3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</row>
    <row r="227" spans="1:40" ht="16.5" customHeight="1" x14ac:dyDescent="0.3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</row>
    <row r="228" spans="1:40" ht="16.5" customHeight="1" x14ac:dyDescent="0.3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</row>
    <row r="229" spans="1:40" ht="16.5" customHeight="1" x14ac:dyDescent="0.3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</row>
    <row r="230" spans="1:40" ht="16.5" customHeight="1" x14ac:dyDescent="0.3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</row>
    <row r="231" spans="1:40" ht="16.5" customHeight="1" x14ac:dyDescent="0.3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</row>
    <row r="232" spans="1:40" ht="16.5" customHeight="1" x14ac:dyDescent="0.3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</row>
    <row r="233" spans="1:40" ht="16.5" customHeight="1" x14ac:dyDescent="0.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</row>
    <row r="234" spans="1:40" ht="16.5" customHeight="1" x14ac:dyDescent="0.3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</row>
    <row r="235" spans="1:40" ht="16.5" customHeight="1" x14ac:dyDescent="0.3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</row>
    <row r="236" spans="1:40" ht="16.5" customHeight="1" x14ac:dyDescent="0.3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</row>
    <row r="237" spans="1:40" ht="16.5" customHeight="1" x14ac:dyDescent="0.3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</row>
    <row r="238" spans="1:40" ht="16.5" customHeight="1" x14ac:dyDescent="0.3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</row>
    <row r="239" spans="1:40" ht="16.5" customHeight="1" x14ac:dyDescent="0.3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</row>
    <row r="240" spans="1:40" ht="16.5" customHeight="1" x14ac:dyDescent="0.3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</row>
    <row r="241" spans="1:40" ht="16.5" customHeight="1" x14ac:dyDescent="0.3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</row>
    <row r="242" spans="1:40" ht="16.5" customHeight="1" x14ac:dyDescent="0.3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</row>
    <row r="243" spans="1:40" ht="16.5" customHeight="1" x14ac:dyDescent="0.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</row>
    <row r="244" spans="1:40" ht="16.5" customHeight="1" x14ac:dyDescent="0.3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</row>
    <row r="245" spans="1:40" ht="16.5" customHeight="1" x14ac:dyDescent="0.3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</row>
    <row r="246" spans="1:40" ht="16.5" customHeight="1" x14ac:dyDescent="0.3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</row>
    <row r="247" spans="1:40" ht="16.5" customHeight="1" x14ac:dyDescent="0.3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</row>
    <row r="248" spans="1:40" ht="16.5" customHeight="1" x14ac:dyDescent="0.3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</row>
    <row r="249" spans="1:40" ht="16.5" customHeight="1" x14ac:dyDescent="0.3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</row>
    <row r="250" spans="1:40" ht="16.5" customHeight="1" x14ac:dyDescent="0.3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</row>
    <row r="251" spans="1:40" ht="16.5" customHeight="1" x14ac:dyDescent="0.3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</row>
    <row r="252" spans="1:40" ht="16.5" customHeight="1" x14ac:dyDescent="0.3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</row>
    <row r="253" spans="1:40" ht="16.5" customHeight="1" x14ac:dyDescent="0.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</row>
    <row r="254" spans="1:40" ht="16.5" customHeight="1" x14ac:dyDescent="0.3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</row>
    <row r="255" spans="1:40" ht="16.5" customHeight="1" x14ac:dyDescent="0.3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</row>
    <row r="256" spans="1:40" ht="16.5" customHeight="1" x14ac:dyDescent="0.3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</row>
    <row r="257" spans="1:40" ht="16.5" customHeight="1" x14ac:dyDescent="0.3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</row>
    <row r="258" spans="1:40" ht="16.5" customHeight="1" x14ac:dyDescent="0.3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</row>
    <row r="259" spans="1:40" ht="16.5" customHeight="1" x14ac:dyDescent="0.3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</row>
    <row r="260" spans="1:40" ht="16.5" customHeight="1" x14ac:dyDescent="0.3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</row>
    <row r="261" spans="1:40" ht="16.5" customHeight="1" x14ac:dyDescent="0.3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</row>
    <row r="262" spans="1:40" ht="16.5" customHeight="1" x14ac:dyDescent="0.3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</row>
    <row r="263" spans="1:40" ht="16.5" customHeight="1" x14ac:dyDescent="0.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</row>
    <row r="264" spans="1:40" ht="16.5" customHeight="1" x14ac:dyDescent="0.3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</row>
    <row r="265" spans="1:40" ht="16.5" customHeight="1" x14ac:dyDescent="0.3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</row>
    <row r="266" spans="1:40" ht="16.5" customHeight="1" x14ac:dyDescent="0.3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</row>
    <row r="267" spans="1:40" ht="16.5" customHeight="1" x14ac:dyDescent="0.3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</row>
    <row r="268" spans="1:40" ht="16.5" customHeight="1" x14ac:dyDescent="0.3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</row>
    <row r="269" spans="1:40" ht="16.5" customHeight="1" x14ac:dyDescent="0.3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</row>
    <row r="270" spans="1:40" ht="16.5" customHeight="1" x14ac:dyDescent="0.3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</row>
    <row r="271" spans="1:40" ht="16.5" customHeight="1" x14ac:dyDescent="0.3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</row>
    <row r="272" spans="1:40" ht="16.5" customHeight="1" x14ac:dyDescent="0.3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</row>
    <row r="273" spans="1:40" ht="16.5" customHeight="1" x14ac:dyDescent="0.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</row>
    <row r="274" spans="1:40" ht="16.5" customHeight="1" x14ac:dyDescent="0.3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</row>
    <row r="275" spans="1:40" ht="16.5" customHeight="1" x14ac:dyDescent="0.3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</row>
    <row r="276" spans="1:40" ht="16.5" customHeight="1" x14ac:dyDescent="0.3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</row>
    <row r="277" spans="1:40" ht="16.5" customHeight="1" x14ac:dyDescent="0.3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</row>
    <row r="278" spans="1:40" ht="16.5" customHeight="1" x14ac:dyDescent="0.3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</row>
    <row r="279" spans="1:40" ht="16.5" customHeight="1" x14ac:dyDescent="0.3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</row>
    <row r="280" spans="1:40" ht="16.5" customHeight="1" x14ac:dyDescent="0.3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</row>
    <row r="281" spans="1:40" ht="16.5" customHeight="1" x14ac:dyDescent="0.3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</row>
    <row r="282" spans="1:40" ht="16.5" customHeight="1" x14ac:dyDescent="0.3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</row>
    <row r="283" spans="1:40" ht="16.5" customHeight="1" x14ac:dyDescent="0.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</row>
    <row r="284" spans="1:40" ht="16.5" customHeight="1" x14ac:dyDescent="0.3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</row>
    <row r="285" spans="1:40" ht="16.5" customHeight="1" x14ac:dyDescent="0.3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</row>
    <row r="286" spans="1:40" ht="16.5" customHeight="1" x14ac:dyDescent="0.3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</row>
    <row r="287" spans="1:40" ht="16.5" customHeight="1" x14ac:dyDescent="0.3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</row>
    <row r="288" spans="1:40" ht="16.5" customHeight="1" x14ac:dyDescent="0.3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</row>
    <row r="289" spans="1:40" ht="16.5" customHeight="1" x14ac:dyDescent="0.3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</row>
    <row r="290" spans="1:40" ht="16.5" customHeight="1" x14ac:dyDescent="0.3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</row>
    <row r="291" spans="1:40" ht="16.5" customHeight="1" x14ac:dyDescent="0.3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</row>
    <row r="292" spans="1:40" ht="16.5" customHeight="1" x14ac:dyDescent="0.3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</row>
    <row r="293" spans="1:40" ht="16.5" customHeight="1" x14ac:dyDescent="0.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</row>
    <row r="294" spans="1:40" ht="16.5" customHeight="1" x14ac:dyDescent="0.3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</row>
    <row r="295" spans="1:40" ht="16.5" customHeight="1" x14ac:dyDescent="0.3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</row>
    <row r="296" spans="1:40" ht="16.5" customHeight="1" x14ac:dyDescent="0.3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</row>
    <row r="297" spans="1:40" ht="16.5" customHeight="1" x14ac:dyDescent="0.3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</row>
    <row r="298" spans="1:40" ht="16.5" customHeight="1" x14ac:dyDescent="0.3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</row>
    <row r="299" spans="1:40" ht="16.5" customHeight="1" x14ac:dyDescent="0.3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</row>
    <row r="300" spans="1:40" ht="16.5" customHeight="1" x14ac:dyDescent="0.3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</row>
    <row r="301" spans="1:40" ht="16.5" customHeight="1" x14ac:dyDescent="0.3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</row>
    <row r="302" spans="1:40" ht="16.5" customHeight="1" x14ac:dyDescent="0.3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</row>
    <row r="303" spans="1:40" ht="16.5" customHeight="1" x14ac:dyDescent="0.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</row>
    <row r="304" spans="1:40" ht="16.5" customHeight="1" x14ac:dyDescent="0.3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</row>
    <row r="305" spans="1:40" ht="16.5" customHeight="1" x14ac:dyDescent="0.3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</row>
    <row r="306" spans="1:40" ht="16.5" customHeight="1" x14ac:dyDescent="0.3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</row>
    <row r="307" spans="1:40" ht="16.5" customHeight="1" x14ac:dyDescent="0.3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</row>
    <row r="308" spans="1:40" ht="16.5" customHeight="1" x14ac:dyDescent="0.3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</row>
    <row r="309" spans="1:40" ht="16.5" customHeight="1" x14ac:dyDescent="0.3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</row>
    <row r="310" spans="1:40" ht="16.5" customHeight="1" x14ac:dyDescent="0.3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</row>
    <row r="311" spans="1:40" ht="16.5" customHeight="1" x14ac:dyDescent="0.3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</row>
    <row r="312" spans="1:40" ht="16.5" customHeight="1" x14ac:dyDescent="0.3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</row>
    <row r="313" spans="1:40" ht="16.5" customHeight="1" x14ac:dyDescent="0.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</row>
    <row r="314" spans="1:40" ht="16.5" customHeight="1" x14ac:dyDescent="0.3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</row>
    <row r="315" spans="1:40" ht="16.5" customHeight="1" x14ac:dyDescent="0.3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</row>
    <row r="316" spans="1:40" ht="16.5" customHeight="1" x14ac:dyDescent="0.3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</row>
    <row r="317" spans="1:40" ht="16.5" customHeight="1" x14ac:dyDescent="0.3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</row>
    <row r="318" spans="1:40" ht="16.5" customHeight="1" x14ac:dyDescent="0.3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</row>
    <row r="319" spans="1:40" ht="16.5" customHeight="1" x14ac:dyDescent="0.3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</row>
    <row r="320" spans="1:40" ht="16.5" customHeight="1" x14ac:dyDescent="0.3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</row>
    <row r="321" spans="1:40" ht="16.5" customHeight="1" x14ac:dyDescent="0.3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</row>
    <row r="322" spans="1:40" ht="16.5" customHeight="1" x14ac:dyDescent="0.3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</row>
    <row r="323" spans="1:40" ht="16.5" customHeight="1" x14ac:dyDescent="0.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</row>
    <row r="324" spans="1:40" ht="16.5" customHeight="1" x14ac:dyDescent="0.3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</row>
    <row r="325" spans="1:40" ht="16.5" customHeight="1" x14ac:dyDescent="0.3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</row>
    <row r="326" spans="1:40" ht="16.5" customHeight="1" x14ac:dyDescent="0.3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</row>
    <row r="327" spans="1:40" ht="16.5" customHeight="1" x14ac:dyDescent="0.3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</row>
    <row r="328" spans="1:40" ht="16.5" customHeight="1" x14ac:dyDescent="0.3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</row>
    <row r="329" spans="1:40" ht="16.5" customHeight="1" x14ac:dyDescent="0.3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</row>
    <row r="330" spans="1:40" ht="16.5" customHeight="1" x14ac:dyDescent="0.3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</row>
    <row r="331" spans="1:40" ht="16.5" customHeight="1" x14ac:dyDescent="0.3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</row>
    <row r="332" spans="1:40" ht="16.5" customHeight="1" x14ac:dyDescent="0.3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</row>
    <row r="333" spans="1:40" ht="16.5" customHeight="1" x14ac:dyDescent="0.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</row>
    <row r="334" spans="1:40" ht="16.5" customHeight="1" x14ac:dyDescent="0.3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</row>
    <row r="335" spans="1:40" ht="16.5" customHeight="1" x14ac:dyDescent="0.3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</row>
    <row r="336" spans="1:40" ht="16.5" customHeight="1" x14ac:dyDescent="0.3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</row>
    <row r="337" spans="1:40" ht="16.5" customHeight="1" x14ac:dyDescent="0.3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</row>
    <row r="338" spans="1:40" ht="16.5" customHeight="1" x14ac:dyDescent="0.3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</row>
    <row r="339" spans="1:40" ht="16.5" customHeight="1" x14ac:dyDescent="0.3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</row>
    <row r="340" spans="1:40" ht="16.5" customHeight="1" x14ac:dyDescent="0.3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</row>
    <row r="341" spans="1:40" ht="16.5" customHeight="1" x14ac:dyDescent="0.3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</row>
    <row r="342" spans="1:40" ht="16.5" customHeight="1" x14ac:dyDescent="0.3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</row>
    <row r="343" spans="1:40" ht="16.5" customHeight="1" x14ac:dyDescent="0.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</row>
    <row r="344" spans="1:40" ht="16.5" customHeight="1" x14ac:dyDescent="0.3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</row>
    <row r="345" spans="1:40" ht="16.5" customHeight="1" x14ac:dyDescent="0.3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</row>
    <row r="346" spans="1:40" ht="16.5" customHeight="1" x14ac:dyDescent="0.3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</row>
    <row r="347" spans="1:40" ht="16.5" customHeight="1" x14ac:dyDescent="0.3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</row>
    <row r="348" spans="1:40" ht="16.5" customHeight="1" x14ac:dyDescent="0.3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</row>
    <row r="349" spans="1:40" ht="16.5" customHeight="1" x14ac:dyDescent="0.3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</row>
    <row r="350" spans="1:40" ht="16.5" customHeight="1" x14ac:dyDescent="0.3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</row>
    <row r="351" spans="1:40" ht="16.5" customHeight="1" x14ac:dyDescent="0.3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</row>
    <row r="352" spans="1:40" ht="16.5" customHeight="1" x14ac:dyDescent="0.3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</row>
    <row r="353" spans="1:40" ht="16.5" customHeight="1" x14ac:dyDescent="0.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</row>
    <row r="354" spans="1:40" ht="16.5" customHeight="1" x14ac:dyDescent="0.3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</row>
    <row r="355" spans="1:40" ht="16.5" customHeight="1" x14ac:dyDescent="0.3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</row>
    <row r="356" spans="1:40" ht="16.5" customHeight="1" x14ac:dyDescent="0.3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</row>
    <row r="357" spans="1:40" ht="16.5" customHeight="1" x14ac:dyDescent="0.3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</row>
    <row r="358" spans="1:40" ht="16.5" customHeight="1" x14ac:dyDescent="0.3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</row>
    <row r="359" spans="1:40" ht="16.5" customHeight="1" x14ac:dyDescent="0.3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</row>
    <row r="360" spans="1:40" ht="16.5" customHeight="1" x14ac:dyDescent="0.3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</row>
    <row r="361" spans="1:40" ht="16.5" customHeight="1" x14ac:dyDescent="0.3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</row>
    <row r="362" spans="1:40" ht="16.5" customHeight="1" x14ac:dyDescent="0.3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</row>
    <row r="363" spans="1:40" ht="16.5" customHeight="1" x14ac:dyDescent="0.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</row>
    <row r="364" spans="1:40" ht="16.5" customHeight="1" x14ac:dyDescent="0.3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</row>
    <row r="365" spans="1:40" ht="16.5" customHeight="1" x14ac:dyDescent="0.3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</row>
    <row r="366" spans="1:40" ht="16.5" customHeight="1" x14ac:dyDescent="0.3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</row>
    <row r="367" spans="1:40" ht="16.5" customHeight="1" x14ac:dyDescent="0.3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</row>
    <row r="368" spans="1:40" ht="16.5" customHeight="1" x14ac:dyDescent="0.3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</row>
    <row r="369" spans="1:40" ht="16.5" customHeight="1" x14ac:dyDescent="0.3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</row>
    <row r="370" spans="1:40" ht="16.5" customHeight="1" x14ac:dyDescent="0.3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</row>
    <row r="371" spans="1:40" ht="16.5" customHeight="1" x14ac:dyDescent="0.3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</row>
    <row r="372" spans="1:40" ht="16.5" customHeight="1" x14ac:dyDescent="0.3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</row>
    <row r="373" spans="1:40" ht="16.5" customHeight="1" x14ac:dyDescent="0.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</row>
    <row r="374" spans="1:40" ht="16.5" customHeight="1" x14ac:dyDescent="0.3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</row>
    <row r="375" spans="1:40" ht="16.5" customHeight="1" x14ac:dyDescent="0.3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</row>
    <row r="376" spans="1:40" ht="16.5" customHeight="1" x14ac:dyDescent="0.3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</row>
    <row r="377" spans="1:40" ht="16.5" customHeight="1" x14ac:dyDescent="0.3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</row>
    <row r="378" spans="1:40" ht="16.5" customHeight="1" x14ac:dyDescent="0.3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</row>
    <row r="379" spans="1:40" ht="16.5" customHeight="1" x14ac:dyDescent="0.3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</row>
    <row r="380" spans="1:40" ht="16.5" customHeight="1" x14ac:dyDescent="0.3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</row>
    <row r="381" spans="1:40" ht="16.5" customHeight="1" x14ac:dyDescent="0.3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</row>
    <row r="382" spans="1:40" ht="16.5" customHeight="1" x14ac:dyDescent="0.3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</row>
    <row r="383" spans="1:40" ht="16.5" customHeight="1" x14ac:dyDescent="0.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</row>
    <row r="384" spans="1:40" ht="16.5" customHeight="1" x14ac:dyDescent="0.3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</row>
    <row r="385" spans="1:40" ht="16.5" customHeight="1" x14ac:dyDescent="0.3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</row>
    <row r="386" spans="1:40" ht="16.5" customHeight="1" x14ac:dyDescent="0.3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</row>
    <row r="387" spans="1:40" ht="16.5" customHeight="1" x14ac:dyDescent="0.3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</row>
    <row r="388" spans="1:40" ht="16.5" customHeight="1" x14ac:dyDescent="0.3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</row>
    <row r="389" spans="1:40" ht="16.5" customHeight="1" x14ac:dyDescent="0.3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</row>
    <row r="390" spans="1:40" ht="16.5" customHeight="1" x14ac:dyDescent="0.3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</row>
    <row r="391" spans="1:40" ht="16.5" customHeight="1" x14ac:dyDescent="0.3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</row>
    <row r="392" spans="1:40" ht="16.5" customHeight="1" x14ac:dyDescent="0.3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</row>
    <row r="393" spans="1:40" ht="16.5" customHeight="1" x14ac:dyDescent="0.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</row>
    <row r="394" spans="1:40" ht="16.5" customHeight="1" x14ac:dyDescent="0.3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</row>
    <row r="395" spans="1:40" ht="16.5" customHeight="1" x14ac:dyDescent="0.3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</row>
    <row r="396" spans="1:40" ht="16.5" customHeight="1" x14ac:dyDescent="0.3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</row>
    <row r="397" spans="1:40" ht="16.5" customHeight="1" x14ac:dyDescent="0.3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</row>
    <row r="398" spans="1:40" ht="16.5" customHeight="1" x14ac:dyDescent="0.3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</row>
    <row r="399" spans="1:40" ht="16.5" customHeight="1" x14ac:dyDescent="0.3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</row>
    <row r="400" spans="1:40" ht="16.5" customHeight="1" x14ac:dyDescent="0.3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</row>
    <row r="401" spans="1:40" ht="16.5" customHeight="1" x14ac:dyDescent="0.3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</row>
    <row r="402" spans="1:40" ht="16.5" customHeight="1" x14ac:dyDescent="0.3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</row>
    <row r="403" spans="1:40" ht="16.5" customHeight="1" x14ac:dyDescent="0.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</row>
    <row r="404" spans="1:40" ht="16.5" customHeight="1" x14ac:dyDescent="0.3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</row>
    <row r="405" spans="1:40" ht="16.5" customHeight="1" x14ac:dyDescent="0.3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</row>
    <row r="406" spans="1:40" ht="16.5" customHeight="1" x14ac:dyDescent="0.3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</row>
    <row r="407" spans="1:40" ht="16.5" customHeight="1" x14ac:dyDescent="0.3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</row>
    <row r="408" spans="1:40" ht="16.5" customHeight="1" x14ac:dyDescent="0.3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</row>
    <row r="409" spans="1:40" ht="16.5" customHeight="1" x14ac:dyDescent="0.3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</row>
    <row r="410" spans="1:40" ht="16.5" customHeight="1" x14ac:dyDescent="0.3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</row>
    <row r="411" spans="1:40" ht="16.5" customHeight="1" x14ac:dyDescent="0.3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</row>
    <row r="412" spans="1:40" ht="16.5" customHeight="1" x14ac:dyDescent="0.3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</row>
    <row r="413" spans="1:40" ht="16.5" customHeight="1" x14ac:dyDescent="0.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</row>
    <row r="414" spans="1:40" ht="16.5" customHeight="1" x14ac:dyDescent="0.3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</row>
    <row r="415" spans="1:40" ht="16.5" customHeight="1" x14ac:dyDescent="0.3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</row>
    <row r="416" spans="1:40" ht="16.5" customHeight="1" x14ac:dyDescent="0.3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</row>
    <row r="417" spans="1:40" ht="16.5" customHeight="1" x14ac:dyDescent="0.3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</row>
    <row r="418" spans="1:40" ht="16.5" customHeight="1" x14ac:dyDescent="0.3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</row>
    <row r="419" spans="1:40" ht="16.5" customHeight="1" x14ac:dyDescent="0.3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</row>
    <row r="420" spans="1:40" ht="16.5" customHeight="1" x14ac:dyDescent="0.3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</row>
    <row r="421" spans="1:40" ht="16.5" customHeight="1" x14ac:dyDescent="0.3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</row>
    <row r="422" spans="1:40" ht="16.5" customHeight="1" x14ac:dyDescent="0.3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</row>
    <row r="423" spans="1:40" ht="16.5" customHeight="1" x14ac:dyDescent="0.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</row>
    <row r="424" spans="1:40" ht="16.5" customHeight="1" x14ac:dyDescent="0.3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</row>
    <row r="425" spans="1:40" ht="16.5" customHeight="1" x14ac:dyDescent="0.3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</row>
    <row r="426" spans="1:40" ht="16.5" customHeight="1" x14ac:dyDescent="0.3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</row>
    <row r="427" spans="1:40" ht="16.5" customHeight="1" x14ac:dyDescent="0.3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</row>
    <row r="428" spans="1:40" ht="16.5" customHeight="1" x14ac:dyDescent="0.3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</row>
    <row r="429" spans="1:40" ht="16.5" customHeight="1" x14ac:dyDescent="0.3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</row>
    <row r="430" spans="1:40" ht="16.5" customHeight="1" x14ac:dyDescent="0.3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</row>
    <row r="431" spans="1:40" ht="16.5" customHeight="1" x14ac:dyDescent="0.3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</row>
    <row r="432" spans="1:40" ht="16.5" customHeight="1" x14ac:dyDescent="0.3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</row>
    <row r="433" spans="1:40" ht="16.5" customHeight="1" x14ac:dyDescent="0.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</row>
    <row r="434" spans="1:40" ht="16.5" customHeight="1" x14ac:dyDescent="0.3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</row>
    <row r="435" spans="1:40" ht="16.5" customHeight="1" x14ac:dyDescent="0.3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</row>
    <row r="436" spans="1:40" ht="16.5" customHeight="1" x14ac:dyDescent="0.3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</row>
    <row r="437" spans="1:40" ht="16.5" customHeight="1" x14ac:dyDescent="0.3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</row>
    <row r="438" spans="1:40" ht="16.5" customHeight="1" x14ac:dyDescent="0.3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</row>
    <row r="439" spans="1:40" ht="16.5" customHeight="1" x14ac:dyDescent="0.3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</row>
    <row r="440" spans="1:40" ht="16.5" customHeight="1" x14ac:dyDescent="0.3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</row>
    <row r="441" spans="1:40" ht="16.5" customHeight="1" x14ac:dyDescent="0.3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</row>
    <row r="442" spans="1:40" ht="16.5" customHeight="1" x14ac:dyDescent="0.3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</row>
    <row r="443" spans="1:40" ht="16.5" customHeight="1" x14ac:dyDescent="0.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</row>
    <row r="444" spans="1:40" ht="16.5" customHeight="1" x14ac:dyDescent="0.3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</row>
    <row r="445" spans="1:40" ht="16.5" customHeight="1" x14ac:dyDescent="0.3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</row>
    <row r="446" spans="1:40" ht="16.5" customHeight="1" x14ac:dyDescent="0.3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</row>
    <row r="447" spans="1:40" ht="16.5" customHeight="1" x14ac:dyDescent="0.3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</row>
    <row r="448" spans="1:40" ht="16.5" customHeight="1" x14ac:dyDescent="0.3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</row>
    <row r="449" spans="1:40" ht="16.5" customHeight="1" x14ac:dyDescent="0.3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</row>
    <row r="450" spans="1:40" ht="16.5" customHeight="1" x14ac:dyDescent="0.3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</row>
    <row r="451" spans="1:40" ht="16.5" customHeight="1" x14ac:dyDescent="0.3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</row>
    <row r="452" spans="1:40" ht="16.5" customHeight="1" x14ac:dyDescent="0.3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</row>
    <row r="453" spans="1:40" ht="16.5" customHeight="1" x14ac:dyDescent="0.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</row>
    <row r="454" spans="1:40" ht="16.5" customHeight="1" x14ac:dyDescent="0.3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</row>
    <row r="455" spans="1:40" ht="16.5" customHeight="1" x14ac:dyDescent="0.3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</row>
    <row r="456" spans="1:40" ht="16.5" customHeight="1" x14ac:dyDescent="0.3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</row>
    <row r="457" spans="1:40" ht="16.5" customHeight="1" x14ac:dyDescent="0.3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</row>
    <row r="458" spans="1:40" ht="16.5" customHeight="1" x14ac:dyDescent="0.3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</row>
    <row r="459" spans="1:40" ht="16.5" customHeight="1" x14ac:dyDescent="0.3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</row>
    <row r="460" spans="1:40" ht="16.5" customHeight="1" x14ac:dyDescent="0.3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</row>
    <row r="461" spans="1:40" ht="16.5" customHeight="1" x14ac:dyDescent="0.3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</row>
    <row r="462" spans="1:40" ht="16.5" customHeight="1" x14ac:dyDescent="0.3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</row>
    <row r="463" spans="1:40" ht="16.5" customHeight="1" x14ac:dyDescent="0.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</row>
    <row r="464" spans="1:40" ht="16.5" customHeight="1" x14ac:dyDescent="0.3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</row>
    <row r="465" spans="1:40" ht="16.5" customHeight="1" x14ac:dyDescent="0.3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</row>
    <row r="466" spans="1:40" ht="16.5" customHeight="1" x14ac:dyDescent="0.3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</row>
    <row r="467" spans="1:40" ht="16.5" customHeight="1" x14ac:dyDescent="0.3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</row>
    <row r="468" spans="1:40" ht="16.5" customHeight="1" x14ac:dyDescent="0.3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</row>
    <row r="469" spans="1:40" ht="16.5" customHeight="1" x14ac:dyDescent="0.3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</row>
    <row r="470" spans="1:40" ht="16.5" customHeight="1" x14ac:dyDescent="0.3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</row>
    <row r="471" spans="1:40" ht="16.5" customHeight="1" x14ac:dyDescent="0.3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</row>
    <row r="472" spans="1:40" ht="16.5" customHeight="1" x14ac:dyDescent="0.3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</row>
    <row r="473" spans="1:40" ht="16.5" customHeight="1" x14ac:dyDescent="0.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</row>
    <row r="474" spans="1:40" ht="16.5" customHeight="1" x14ac:dyDescent="0.3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</row>
    <row r="475" spans="1:40" ht="16.5" customHeight="1" x14ac:dyDescent="0.3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</row>
    <row r="476" spans="1:40" ht="16.5" customHeight="1" x14ac:dyDescent="0.3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</row>
    <row r="477" spans="1:40" ht="16.5" customHeight="1" x14ac:dyDescent="0.3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</row>
    <row r="478" spans="1:40" ht="16.5" customHeight="1" x14ac:dyDescent="0.3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</row>
    <row r="479" spans="1:40" ht="16.5" customHeight="1" x14ac:dyDescent="0.3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</row>
    <row r="480" spans="1:40" ht="16.5" customHeight="1" x14ac:dyDescent="0.3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</row>
    <row r="481" spans="1:40" ht="16.5" customHeight="1" x14ac:dyDescent="0.3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</row>
    <row r="482" spans="1:40" ht="16.5" customHeight="1" x14ac:dyDescent="0.3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</row>
    <row r="483" spans="1:40" ht="16.5" customHeight="1" x14ac:dyDescent="0.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</row>
    <row r="484" spans="1:40" ht="16.5" customHeight="1" x14ac:dyDescent="0.3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</row>
    <row r="485" spans="1:40" ht="16.5" customHeight="1" x14ac:dyDescent="0.3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</row>
    <row r="486" spans="1:40" ht="16.5" customHeight="1" x14ac:dyDescent="0.3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</row>
    <row r="487" spans="1:40" ht="16.5" customHeight="1" x14ac:dyDescent="0.3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</row>
    <row r="488" spans="1:40" ht="16.5" customHeight="1" x14ac:dyDescent="0.3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</row>
    <row r="489" spans="1:40" ht="16.5" customHeight="1" x14ac:dyDescent="0.3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</row>
    <row r="490" spans="1:40" ht="16.5" customHeight="1" x14ac:dyDescent="0.3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</row>
    <row r="491" spans="1:40" ht="16.5" customHeight="1" x14ac:dyDescent="0.3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</row>
    <row r="492" spans="1:40" ht="16.5" customHeight="1" x14ac:dyDescent="0.3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</row>
    <row r="493" spans="1:40" ht="16.5" customHeight="1" x14ac:dyDescent="0.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</row>
    <row r="494" spans="1:40" ht="16.5" customHeight="1" x14ac:dyDescent="0.3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</row>
    <row r="495" spans="1:40" ht="16.5" customHeight="1" x14ac:dyDescent="0.3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</row>
    <row r="496" spans="1:40" ht="16.5" customHeight="1" x14ac:dyDescent="0.3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</row>
    <row r="497" spans="1:40" ht="16.5" customHeight="1" x14ac:dyDescent="0.3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</row>
    <row r="498" spans="1:40" ht="16.5" customHeight="1" x14ac:dyDescent="0.3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</row>
    <row r="499" spans="1:40" ht="16.5" customHeight="1" x14ac:dyDescent="0.3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</row>
    <row r="500" spans="1:40" ht="16.5" customHeight="1" x14ac:dyDescent="0.3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</row>
    <row r="501" spans="1:40" ht="16.5" customHeight="1" x14ac:dyDescent="0.3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</row>
    <row r="502" spans="1:40" ht="16.5" customHeight="1" x14ac:dyDescent="0.3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</row>
    <row r="503" spans="1:40" ht="16.5" customHeight="1" x14ac:dyDescent="0.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</row>
    <row r="504" spans="1:40" ht="16.5" customHeight="1" x14ac:dyDescent="0.3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</row>
    <row r="505" spans="1:40" ht="16.5" customHeight="1" x14ac:dyDescent="0.3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</row>
    <row r="506" spans="1:40" ht="16.5" customHeight="1" x14ac:dyDescent="0.3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</row>
    <row r="507" spans="1:40" ht="16.5" customHeight="1" x14ac:dyDescent="0.3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</row>
    <row r="508" spans="1:40" ht="16.5" customHeight="1" x14ac:dyDescent="0.3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</row>
    <row r="509" spans="1:40" ht="16.5" customHeight="1" x14ac:dyDescent="0.3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</row>
    <row r="510" spans="1:40" ht="16.5" customHeight="1" x14ac:dyDescent="0.3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</row>
    <row r="511" spans="1:40" ht="16.5" customHeight="1" x14ac:dyDescent="0.3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</row>
    <row r="512" spans="1:40" ht="16.5" customHeight="1" x14ac:dyDescent="0.3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</row>
    <row r="513" spans="1:40" ht="16.5" customHeight="1" x14ac:dyDescent="0.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</row>
    <row r="514" spans="1:40" ht="16.5" customHeight="1" x14ac:dyDescent="0.3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</row>
    <row r="515" spans="1:40" ht="16.5" customHeight="1" x14ac:dyDescent="0.3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</row>
    <row r="516" spans="1:40" ht="16.5" customHeight="1" x14ac:dyDescent="0.3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</row>
    <row r="517" spans="1:40" ht="16.5" customHeight="1" x14ac:dyDescent="0.3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</row>
    <row r="518" spans="1:40" ht="16.5" customHeight="1" x14ac:dyDescent="0.3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</row>
    <row r="519" spans="1:40" ht="16.5" customHeight="1" x14ac:dyDescent="0.3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</row>
    <row r="520" spans="1:40" ht="16.5" customHeight="1" x14ac:dyDescent="0.3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</row>
    <row r="521" spans="1:40" ht="16.5" customHeight="1" x14ac:dyDescent="0.3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</row>
    <row r="522" spans="1:40" ht="16.5" customHeight="1" x14ac:dyDescent="0.3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</row>
    <row r="523" spans="1:40" ht="16.5" customHeight="1" x14ac:dyDescent="0.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</row>
    <row r="524" spans="1:40" ht="16.5" customHeight="1" x14ac:dyDescent="0.3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</row>
    <row r="525" spans="1:40" ht="16.5" customHeight="1" x14ac:dyDescent="0.3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</row>
    <row r="526" spans="1:40" ht="16.5" customHeight="1" x14ac:dyDescent="0.3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</row>
    <row r="527" spans="1:40" ht="16.5" customHeight="1" x14ac:dyDescent="0.3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</row>
    <row r="528" spans="1:40" ht="16.5" customHeight="1" x14ac:dyDescent="0.3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</row>
    <row r="529" spans="1:40" ht="16.5" customHeight="1" x14ac:dyDescent="0.3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</row>
    <row r="530" spans="1:40" ht="16.5" customHeight="1" x14ac:dyDescent="0.3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</row>
    <row r="531" spans="1:40" ht="16.5" customHeight="1" x14ac:dyDescent="0.3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</row>
    <row r="532" spans="1:40" ht="16.5" customHeight="1" x14ac:dyDescent="0.3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</row>
    <row r="533" spans="1:40" ht="16.5" customHeight="1" x14ac:dyDescent="0.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</row>
    <row r="534" spans="1:40" ht="16.5" customHeight="1" x14ac:dyDescent="0.3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</row>
    <row r="535" spans="1:40" ht="16.5" customHeight="1" x14ac:dyDescent="0.3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</row>
    <row r="536" spans="1:40" ht="16.5" customHeight="1" x14ac:dyDescent="0.3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</row>
    <row r="537" spans="1:40" ht="16.5" customHeight="1" x14ac:dyDescent="0.3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</row>
    <row r="538" spans="1:40" ht="16.5" customHeight="1" x14ac:dyDescent="0.3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</row>
    <row r="539" spans="1:40" ht="16.5" customHeight="1" x14ac:dyDescent="0.3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</row>
    <row r="540" spans="1:40" ht="16.5" customHeight="1" x14ac:dyDescent="0.3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</row>
    <row r="541" spans="1:40" ht="16.5" customHeight="1" x14ac:dyDescent="0.3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</row>
    <row r="542" spans="1:40" ht="16.5" customHeight="1" x14ac:dyDescent="0.3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</row>
    <row r="543" spans="1:40" ht="16.5" customHeight="1" x14ac:dyDescent="0.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</row>
    <row r="544" spans="1:40" ht="16.5" customHeight="1" x14ac:dyDescent="0.3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</row>
    <row r="545" spans="1:40" ht="16.5" customHeight="1" x14ac:dyDescent="0.3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</row>
    <row r="546" spans="1:40" ht="16.5" customHeight="1" x14ac:dyDescent="0.3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</row>
    <row r="547" spans="1:40" ht="16.5" customHeight="1" x14ac:dyDescent="0.3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</row>
    <row r="548" spans="1:40" ht="16.5" customHeight="1" x14ac:dyDescent="0.3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</row>
    <row r="549" spans="1:40" ht="16.5" customHeight="1" x14ac:dyDescent="0.3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</row>
    <row r="550" spans="1:40" ht="16.5" customHeight="1" x14ac:dyDescent="0.3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</row>
    <row r="551" spans="1:40" ht="16.5" customHeight="1" x14ac:dyDescent="0.3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</row>
    <row r="552" spans="1:40" ht="16.5" customHeight="1" x14ac:dyDescent="0.3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</row>
    <row r="553" spans="1:40" ht="16.5" customHeight="1" x14ac:dyDescent="0.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</row>
    <row r="554" spans="1:40" ht="16.5" customHeight="1" x14ac:dyDescent="0.3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</row>
    <row r="555" spans="1:40" ht="16.5" customHeight="1" x14ac:dyDescent="0.3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</row>
    <row r="556" spans="1:40" ht="16.5" customHeight="1" x14ac:dyDescent="0.3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</row>
    <row r="557" spans="1:40" ht="16.5" customHeight="1" x14ac:dyDescent="0.3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</row>
    <row r="558" spans="1:40" ht="16.5" customHeight="1" x14ac:dyDescent="0.3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</row>
    <row r="559" spans="1:40" ht="16.5" customHeight="1" x14ac:dyDescent="0.3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</row>
    <row r="560" spans="1:40" ht="16.5" customHeight="1" x14ac:dyDescent="0.3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</row>
    <row r="561" spans="1:40" ht="16.5" customHeight="1" x14ac:dyDescent="0.3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</row>
    <row r="562" spans="1:40" ht="16.5" customHeight="1" x14ac:dyDescent="0.3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</row>
    <row r="563" spans="1:40" ht="16.5" customHeight="1" x14ac:dyDescent="0.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</row>
    <row r="564" spans="1:40" ht="16.5" customHeight="1" x14ac:dyDescent="0.3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</row>
    <row r="565" spans="1:40" ht="16.5" customHeight="1" x14ac:dyDescent="0.3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</row>
    <row r="566" spans="1:40" ht="16.5" customHeight="1" x14ac:dyDescent="0.3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</row>
    <row r="567" spans="1:40" ht="16.5" customHeight="1" x14ac:dyDescent="0.3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</row>
    <row r="568" spans="1:40" ht="16.5" customHeight="1" x14ac:dyDescent="0.3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</row>
    <row r="569" spans="1:40" ht="16.5" customHeight="1" x14ac:dyDescent="0.3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</row>
    <row r="570" spans="1:40" ht="16.5" customHeight="1" x14ac:dyDescent="0.3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</row>
    <row r="571" spans="1:40" ht="16.5" customHeight="1" x14ac:dyDescent="0.3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</row>
    <row r="572" spans="1:40" ht="16.5" customHeight="1" x14ac:dyDescent="0.3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</row>
    <row r="573" spans="1:40" ht="16.5" customHeight="1" x14ac:dyDescent="0.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</row>
    <row r="574" spans="1:40" ht="16.5" customHeight="1" x14ac:dyDescent="0.3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</row>
    <row r="575" spans="1:40" ht="16.5" customHeight="1" x14ac:dyDescent="0.3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</row>
    <row r="576" spans="1:40" ht="16.5" customHeight="1" x14ac:dyDescent="0.3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</row>
    <row r="577" spans="1:40" ht="16.5" customHeight="1" x14ac:dyDescent="0.3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</row>
    <row r="578" spans="1:40" ht="16.5" customHeight="1" x14ac:dyDescent="0.3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</row>
    <row r="579" spans="1:40" ht="16.5" customHeight="1" x14ac:dyDescent="0.3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</row>
    <row r="580" spans="1:40" ht="16.5" customHeight="1" x14ac:dyDescent="0.3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</row>
    <row r="581" spans="1:40" ht="16.5" customHeight="1" x14ac:dyDescent="0.3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</row>
    <row r="582" spans="1:40" ht="16.5" customHeight="1" x14ac:dyDescent="0.3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</row>
    <row r="583" spans="1:40" ht="16.5" customHeight="1" x14ac:dyDescent="0.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</row>
    <row r="584" spans="1:40" ht="16.5" customHeight="1" x14ac:dyDescent="0.3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</row>
    <row r="585" spans="1:40" ht="16.5" customHeight="1" x14ac:dyDescent="0.3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</row>
    <row r="586" spans="1:40" ht="16.5" customHeight="1" x14ac:dyDescent="0.3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</row>
    <row r="587" spans="1:40" ht="16.5" customHeight="1" x14ac:dyDescent="0.3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</row>
    <row r="588" spans="1:40" ht="16.5" customHeight="1" x14ac:dyDescent="0.3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</row>
    <row r="589" spans="1:40" ht="16.5" customHeight="1" x14ac:dyDescent="0.3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</row>
    <row r="590" spans="1:40" ht="16.5" customHeight="1" x14ac:dyDescent="0.3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</row>
    <row r="591" spans="1:40" ht="16.5" customHeight="1" x14ac:dyDescent="0.3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</row>
    <row r="592" spans="1:40" ht="16.5" customHeight="1" x14ac:dyDescent="0.3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</row>
    <row r="593" spans="1:40" ht="16.5" customHeight="1" x14ac:dyDescent="0.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</row>
    <row r="594" spans="1:40" ht="16.5" customHeight="1" x14ac:dyDescent="0.3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</row>
    <row r="595" spans="1:40" ht="16.5" customHeight="1" x14ac:dyDescent="0.3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</row>
    <row r="596" spans="1:40" ht="16.5" customHeight="1" x14ac:dyDescent="0.3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</row>
    <row r="597" spans="1:40" ht="16.5" customHeight="1" x14ac:dyDescent="0.3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</row>
    <row r="598" spans="1:40" ht="16.5" customHeight="1" x14ac:dyDescent="0.3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</row>
    <row r="599" spans="1:40" ht="16.5" customHeight="1" x14ac:dyDescent="0.3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</row>
    <row r="600" spans="1:40" ht="16.5" customHeight="1" x14ac:dyDescent="0.3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</row>
    <row r="601" spans="1:40" ht="16.5" customHeight="1" x14ac:dyDescent="0.3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</row>
    <row r="602" spans="1:40" ht="16.5" customHeight="1" x14ac:dyDescent="0.3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</row>
    <row r="603" spans="1:40" ht="16.5" customHeight="1" x14ac:dyDescent="0.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</row>
    <row r="604" spans="1:40" ht="16.5" customHeight="1" x14ac:dyDescent="0.3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</row>
    <row r="605" spans="1:40" ht="16.5" customHeight="1" x14ac:dyDescent="0.3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</row>
    <row r="606" spans="1:40" ht="16.5" customHeight="1" x14ac:dyDescent="0.3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</row>
    <row r="607" spans="1:40" ht="16.5" customHeight="1" x14ac:dyDescent="0.3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</row>
    <row r="608" spans="1:40" ht="16.5" customHeight="1" x14ac:dyDescent="0.3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</row>
    <row r="609" spans="1:40" ht="16.5" customHeight="1" x14ac:dyDescent="0.3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</row>
    <row r="610" spans="1:40" ht="16.5" customHeight="1" x14ac:dyDescent="0.3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</row>
    <row r="611" spans="1:40" ht="16.5" customHeight="1" x14ac:dyDescent="0.3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</row>
    <row r="612" spans="1:40" ht="16.5" customHeight="1" x14ac:dyDescent="0.3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</row>
    <row r="613" spans="1:40" ht="16.5" customHeight="1" x14ac:dyDescent="0.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</row>
    <row r="614" spans="1:40" ht="16.5" customHeight="1" x14ac:dyDescent="0.3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</row>
    <row r="615" spans="1:40" ht="16.5" customHeight="1" x14ac:dyDescent="0.3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</row>
    <row r="616" spans="1:40" ht="16.5" customHeight="1" x14ac:dyDescent="0.3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</row>
    <row r="617" spans="1:40" ht="16.5" customHeight="1" x14ac:dyDescent="0.3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</row>
    <row r="618" spans="1:40" ht="16.5" customHeight="1" x14ac:dyDescent="0.3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</row>
    <row r="619" spans="1:40" ht="16.5" customHeight="1" x14ac:dyDescent="0.3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</row>
    <row r="620" spans="1:40" ht="16.5" customHeight="1" x14ac:dyDescent="0.3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</row>
    <row r="621" spans="1:40" ht="16.5" customHeight="1" x14ac:dyDescent="0.3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</row>
    <row r="622" spans="1:40" ht="16.5" customHeight="1" x14ac:dyDescent="0.3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</row>
    <row r="623" spans="1:40" ht="16.5" customHeight="1" x14ac:dyDescent="0.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</row>
    <row r="624" spans="1:40" ht="16.5" customHeight="1" x14ac:dyDescent="0.3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</row>
    <row r="625" spans="1:40" ht="16.5" customHeight="1" x14ac:dyDescent="0.3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</row>
    <row r="626" spans="1:40" ht="16.5" customHeight="1" x14ac:dyDescent="0.3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</row>
    <row r="627" spans="1:40" ht="16.5" customHeight="1" x14ac:dyDescent="0.3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</row>
    <row r="628" spans="1:40" ht="16.5" customHeight="1" x14ac:dyDescent="0.3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</row>
    <row r="629" spans="1:40" ht="16.5" customHeight="1" x14ac:dyDescent="0.3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</row>
    <row r="630" spans="1:40" ht="16.5" customHeight="1" x14ac:dyDescent="0.3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</row>
    <row r="631" spans="1:40" ht="16.5" customHeight="1" x14ac:dyDescent="0.3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</row>
    <row r="632" spans="1:40" ht="16.5" customHeight="1" x14ac:dyDescent="0.3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</row>
    <row r="633" spans="1:40" ht="16.5" customHeight="1" x14ac:dyDescent="0.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</row>
    <row r="634" spans="1:40" ht="16.5" customHeight="1" x14ac:dyDescent="0.3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</row>
    <row r="635" spans="1:40" ht="16.5" customHeight="1" x14ac:dyDescent="0.3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</row>
    <row r="636" spans="1:40" ht="16.5" customHeight="1" x14ac:dyDescent="0.3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</row>
    <row r="637" spans="1:40" ht="16.5" customHeight="1" x14ac:dyDescent="0.3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</row>
    <row r="638" spans="1:40" ht="16.5" customHeight="1" x14ac:dyDescent="0.3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</row>
    <row r="639" spans="1:40" ht="16.5" customHeight="1" x14ac:dyDescent="0.3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</row>
    <row r="640" spans="1:40" ht="16.5" customHeight="1" x14ac:dyDescent="0.3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</row>
    <row r="641" spans="1:40" ht="16.5" customHeight="1" x14ac:dyDescent="0.3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</row>
    <row r="642" spans="1:40" ht="16.5" customHeight="1" x14ac:dyDescent="0.3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</row>
    <row r="643" spans="1:40" ht="16.5" customHeight="1" x14ac:dyDescent="0.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</row>
    <row r="644" spans="1:40" ht="16.5" customHeight="1" x14ac:dyDescent="0.3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</row>
    <row r="645" spans="1:40" ht="16.5" customHeight="1" x14ac:dyDescent="0.3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</row>
    <row r="646" spans="1:40" ht="16.5" customHeight="1" x14ac:dyDescent="0.3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</row>
    <row r="647" spans="1:40" ht="16.5" customHeight="1" x14ac:dyDescent="0.3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</row>
    <row r="648" spans="1:40" ht="16.5" customHeight="1" x14ac:dyDescent="0.3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</row>
    <row r="649" spans="1:40" ht="16.5" customHeight="1" x14ac:dyDescent="0.3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</row>
    <row r="650" spans="1:40" ht="16.5" customHeight="1" x14ac:dyDescent="0.3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</row>
    <row r="651" spans="1:40" ht="16.5" customHeight="1" x14ac:dyDescent="0.3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</row>
    <row r="652" spans="1:40" ht="16.5" customHeight="1" x14ac:dyDescent="0.3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</row>
    <row r="653" spans="1:40" ht="16.5" customHeight="1" x14ac:dyDescent="0.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</row>
    <row r="654" spans="1:40" ht="16.5" customHeight="1" x14ac:dyDescent="0.3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</row>
    <row r="655" spans="1:40" ht="16.5" customHeight="1" x14ac:dyDescent="0.3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</row>
    <row r="656" spans="1:40" ht="16.5" customHeight="1" x14ac:dyDescent="0.3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</row>
    <row r="657" spans="1:40" ht="16.5" customHeight="1" x14ac:dyDescent="0.3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</row>
    <row r="658" spans="1:40" ht="16.5" customHeight="1" x14ac:dyDescent="0.3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</row>
    <row r="659" spans="1:40" ht="16.5" customHeight="1" x14ac:dyDescent="0.3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</row>
    <row r="660" spans="1:40" ht="16.5" customHeight="1" x14ac:dyDescent="0.3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</row>
    <row r="661" spans="1:40" ht="16.5" customHeight="1" x14ac:dyDescent="0.3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</row>
    <row r="662" spans="1:40" ht="16.5" customHeight="1" x14ac:dyDescent="0.3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</row>
    <row r="663" spans="1:40" ht="16.5" customHeight="1" x14ac:dyDescent="0.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</row>
    <row r="664" spans="1:40" ht="16.5" customHeight="1" x14ac:dyDescent="0.3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</row>
    <row r="665" spans="1:40" ht="16.5" customHeight="1" x14ac:dyDescent="0.3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</row>
    <row r="666" spans="1:40" ht="16.5" customHeight="1" x14ac:dyDescent="0.3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</row>
    <row r="667" spans="1:40" ht="16.5" customHeight="1" x14ac:dyDescent="0.3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</row>
    <row r="668" spans="1:40" ht="16.5" customHeight="1" x14ac:dyDescent="0.3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</row>
    <row r="669" spans="1:40" ht="16.5" customHeight="1" x14ac:dyDescent="0.3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</row>
    <row r="670" spans="1:40" ht="16.5" customHeight="1" x14ac:dyDescent="0.3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</row>
    <row r="671" spans="1:40" ht="16.5" customHeight="1" x14ac:dyDescent="0.3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</row>
    <row r="672" spans="1:40" ht="16.5" customHeight="1" x14ac:dyDescent="0.3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</row>
    <row r="673" spans="1:40" ht="16.5" customHeight="1" x14ac:dyDescent="0.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</row>
    <row r="674" spans="1:40" ht="16.5" customHeight="1" x14ac:dyDescent="0.3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</row>
    <row r="675" spans="1:40" ht="16.5" customHeight="1" x14ac:dyDescent="0.3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</row>
    <row r="676" spans="1:40" ht="16.5" customHeight="1" x14ac:dyDescent="0.3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</row>
    <row r="677" spans="1:40" ht="16.5" customHeight="1" x14ac:dyDescent="0.3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</row>
    <row r="678" spans="1:40" ht="16.5" customHeight="1" x14ac:dyDescent="0.3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</row>
    <row r="679" spans="1:40" ht="16.5" customHeight="1" x14ac:dyDescent="0.3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</row>
    <row r="680" spans="1:40" ht="16.5" customHeight="1" x14ac:dyDescent="0.3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</row>
    <row r="681" spans="1:40" ht="16.5" customHeight="1" x14ac:dyDescent="0.3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</row>
    <row r="682" spans="1:40" ht="16.5" customHeight="1" x14ac:dyDescent="0.3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</row>
    <row r="683" spans="1:40" ht="16.5" customHeight="1" x14ac:dyDescent="0.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</row>
    <row r="684" spans="1:40" ht="16.5" customHeight="1" x14ac:dyDescent="0.3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</row>
    <row r="685" spans="1:40" ht="16.5" customHeight="1" x14ac:dyDescent="0.3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</row>
    <row r="686" spans="1:40" ht="16.5" customHeight="1" x14ac:dyDescent="0.3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</row>
    <row r="687" spans="1:40" ht="16.5" customHeight="1" x14ac:dyDescent="0.3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</row>
    <row r="688" spans="1:40" ht="16.5" customHeight="1" x14ac:dyDescent="0.3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</row>
    <row r="689" spans="1:40" ht="16.5" customHeight="1" x14ac:dyDescent="0.3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</row>
    <row r="690" spans="1:40" ht="16.5" customHeight="1" x14ac:dyDescent="0.3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</row>
    <row r="691" spans="1:40" ht="16.5" customHeight="1" x14ac:dyDescent="0.3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</row>
    <row r="692" spans="1:40" ht="16.5" customHeight="1" x14ac:dyDescent="0.3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</row>
    <row r="693" spans="1:40" ht="16.5" customHeight="1" x14ac:dyDescent="0.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</row>
    <row r="694" spans="1:40" ht="16.5" customHeight="1" x14ac:dyDescent="0.3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</row>
    <row r="695" spans="1:40" ht="16.5" customHeight="1" x14ac:dyDescent="0.3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</row>
    <row r="696" spans="1:40" ht="16.5" customHeight="1" x14ac:dyDescent="0.3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</row>
    <row r="697" spans="1:40" ht="16.5" customHeight="1" x14ac:dyDescent="0.3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</row>
    <row r="698" spans="1:40" ht="16.5" customHeight="1" x14ac:dyDescent="0.3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</row>
    <row r="699" spans="1:40" ht="16.5" customHeight="1" x14ac:dyDescent="0.3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</row>
    <row r="700" spans="1:40" ht="16.5" customHeight="1" x14ac:dyDescent="0.3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</row>
    <row r="701" spans="1:40" ht="16.5" customHeight="1" x14ac:dyDescent="0.3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</row>
    <row r="702" spans="1:40" ht="16.5" customHeight="1" x14ac:dyDescent="0.3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</row>
    <row r="703" spans="1:40" ht="16.5" customHeight="1" x14ac:dyDescent="0.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</row>
    <row r="704" spans="1:40" ht="16.5" customHeight="1" x14ac:dyDescent="0.3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</row>
    <row r="705" spans="1:40" ht="16.5" customHeight="1" x14ac:dyDescent="0.3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</row>
    <row r="706" spans="1:40" ht="16.5" customHeight="1" x14ac:dyDescent="0.3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</row>
    <row r="707" spans="1:40" ht="16.5" customHeight="1" x14ac:dyDescent="0.3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</row>
    <row r="708" spans="1:40" ht="16.5" customHeight="1" x14ac:dyDescent="0.3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</row>
    <row r="709" spans="1:40" ht="16.5" customHeight="1" x14ac:dyDescent="0.3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</row>
    <row r="710" spans="1:40" ht="16.5" customHeight="1" x14ac:dyDescent="0.3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</row>
    <row r="711" spans="1:40" ht="16.5" customHeight="1" x14ac:dyDescent="0.3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</row>
    <row r="712" spans="1:40" ht="16.5" customHeight="1" x14ac:dyDescent="0.3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</row>
    <row r="713" spans="1:40" ht="16.5" customHeight="1" x14ac:dyDescent="0.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</row>
    <row r="714" spans="1:40" ht="16.5" customHeight="1" x14ac:dyDescent="0.3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</row>
    <row r="715" spans="1:40" ht="16.5" customHeight="1" x14ac:dyDescent="0.3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</row>
    <row r="716" spans="1:40" ht="16.5" customHeight="1" x14ac:dyDescent="0.3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</row>
    <row r="717" spans="1:40" ht="16.5" customHeight="1" x14ac:dyDescent="0.3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</row>
    <row r="718" spans="1:40" ht="16.5" customHeight="1" x14ac:dyDescent="0.3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</row>
    <row r="719" spans="1:40" ht="16.5" customHeight="1" x14ac:dyDescent="0.3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</row>
    <row r="720" spans="1:40" ht="16.5" customHeight="1" x14ac:dyDescent="0.3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</row>
    <row r="721" spans="1:40" ht="16.5" customHeight="1" x14ac:dyDescent="0.3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</row>
    <row r="722" spans="1:40" ht="16.5" customHeight="1" x14ac:dyDescent="0.3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</row>
    <row r="723" spans="1:40" ht="16.5" customHeight="1" x14ac:dyDescent="0.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</row>
    <row r="724" spans="1:40" ht="16.5" customHeight="1" x14ac:dyDescent="0.3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</row>
    <row r="725" spans="1:40" ht="16.5" customHeight="1" x14ac:dyDescent="0.3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</row>
    <row r="726" spans="1:40" ht="16.5" customHeight="1" x14ac:dyDescent="0.3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</row>
    <row r="727" spans="1:40" ht="16.5" customHeight="1" x14ac:dyDescent="0.3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</row>
    <row r="728" spans="1:40" ht="16.5" customHeight="1" x14ac:dyDescent="0.3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</row>
    <row r="729" spans="1:40" ht="16.5" customHeight="1" x14ac:dyDescent="0.3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</row>
    <row r="730" spans="1:40" ht="16.5" customHeight="1" x14ac:dyDescent="0.3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</row>
    <row r="731" spans="1:40" ht="16.5" customHeight="1" x14ac:dyDescent="0.3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</row>
    <row r="732" spans="1:40" ht="16.5" customHeight="1" x14ac:dyDescent="0.3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</row>
    <row r="733" spans="1:40" ht="16.5" customHeight="1" x14ac:dyDescent="0.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</row>
    <row r="734" spans="1:40" ht="16.5" customHeight="1" x14ac:dyDescent="0.3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</row>
    <row r="735" spans="1:40" ht="16.5" customHeight="1" x14ac:dyDescent="0.3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</row>
    <row r="736" spans="1:40" ht="16.5" customHeight="1" x14ac:dyDescent="0.3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</row>
    <row r="737" spans="1:40" ht="16.5" customHeight="1" x14ac:dyDescent="0.3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</row>
    <row r="738" spans="1:40" ht="16.5" customHeight="1" x14ac:dyDescent="0.3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</row>
    <row r="739" spans="1:40" ht="16.5" customHeight="1" x14ac:dyDescent="0.3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</row>
    <row r="740" spans="1:40" ht="16.5" customHeight="1" x14ac:dyDescent="0.3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</row>
    <row r="741" spans="1:40" ht="16.5" customHeight="1" x14ac:dyDescent="0.3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</row>
    <row r="742" spans="1:40" ht="16.5" customHeight="1" x14ac:dyDescent="0.3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</row>
    <row r="743" spans="1:40" ht="16.5" customHeight="1" x14ac:dyDescent="0.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</row>
    <row r="744" spans="1:40" ht="16.5" customHeight="1" x14ac:dyDescent="0.3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</row>
    <row r="745" spans="1:40" ht="16.5" customHeight="1" x14ac:dyDescent="0.3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</row>
    <row r="746" spans="1:40" ht="16.5" customHeight="1" x14ac:dyDescent="0.3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</row>
    <row r="747" spans="1:40" ht="16.5" customHeight="1" x14ac:dyDescent="0.3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</row>
    <row r="748" spans="1:40" ht="16.5" customHeight="1" x14ac:dyDescent="0.3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</row>
    <row r="749" spans="1:40" ht="16.5" customHeight="1" x14ac:dyDescent="0.3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</row>
    <row r="750" spans="1:40" ht="16.5" customHeight="1" x14ac:dyDescent="0.3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</row>
    <row r="751" spans="1:40" ht="16.5" customHeight="1" x14ac:dyDescent="0.3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</row>
    <row r="752" spans="1:40" ht="16.5" customHeight="1" x14ac:dyDescent="0.3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</row>
    <row r="753" spans="1:40" ht="16.5" customHeight="1" x14ac:dyDescent="0.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</row>
    <row r="754" spans="1:40" ht="16.5" customHeight="1" x14ac:dyDescent="0.3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</row>
    <row r="755" spans="1:40" ht="16.5" customHeight="1" x14ac:dyDescent="0.3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</row>
    <row r="756" spans="1:40" ht="16.5" customHeight="1" x14ac:dyDescent="0.3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</row>
    <row r="757" spans="1:40" ht="16.5" customHeight="1" x14ac:dyDescent="0.3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</row>
    <row r="758" spans="1:40" ht="16.5" customHeight="1" x14ac:dyDescent="0.3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</row>
    <row r="759" spans="1:40" ht="16.5" customHeight="1" x14ac:dyDescent="0.3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</row>
    <row r="760" spans="1:40" ht="16.5" customHeight="1" x14ac:dyDescent="0.3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</row>
    <row r="761" spans="1:40" ht="16.5" customHeight="1" x14ac:dyDescent="0.3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</row>
    <row r="762" spans="1:40" ht="16.5" customHeight="1" x14ac:dyDescent="0.3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</row>
    <row r="763" spans="1:40" ht="16.5" customHeight="1" x14ac:dyDescent="0.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</row>
    <row r="764" spans="1:40" ht="16.5" customHeight="1" x14ac:dyDescent="0.3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</row>
    <row r="765" spans="1:40" ht="16.5" customHeight="1" x14ac:dyDescent="0.3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</row>
    <row r="766" spans="1:40" ht="16.5" customHeight="1" x14ac:dyDescent="0.3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</row>
    <row r="767" spans="1:40" ht="16.5" customHeight="1" x14ac:dyDescent="0.3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</row>
    <row r="768" spans="1:40" ht="16.5" customHeight="1" x14ac:dyDescent="0.3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</row>
    <row r="769" spans="1:40" ht="16.5" customHeight="1" x14ac:dyDescent="0.3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</row>
    <row r="770" spans="1:40" ht="16.5" customHeight="1" x14ac:dyDescent="0.3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</row>
    <row r="771" spans="1:40" ht="16.5" customHeight="1" x14ac:dyDescent="0.3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</row>
    <row r="772" spans="1:40" ht="16.5" customHeight="1" x14ac:dyDescent="0.3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</row>
    <row r="773" spans="1:40" ht="16.5" customHeight="1" x14ac:dyDescent="0.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</row>
    <row r="774" spans="1:40" ht="16.5" customHeight="1" x14ac:dyDescent="0.3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</row>
    <row r="775" spans="1:40" ht="16.5" customHeight="1" x14ac:dyDescent="0.3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</row>
    <row r="776" spans="1:40" ht="16.5" customHeight="1" x14ac:dyDescent="0.3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</row>
    <row r="777" spans="1:40" ht="16.5" customHeight="1" x14ac:dyDescent="0.3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</row>
    <row r="778" spans="1:40" ht="16.5" customHeight="1" x14ac:dyDescent="0.3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</row>
    <row r="779" spans="1:40" ht="16.5" customHeight="1" x14ac:dyDescent="0.3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</row>
    <row r="780" spans="1:40" ht="16.5" customHeight="1" x14ac:dyDescent="0.3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</row>
    <row r="781" spans="1:40" ht="16.5" customHeight="1" x14ac:dyDescent="0.3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</row>
    <row r="782" spans="1:40" ht="16.5" customHeight="1" x14ac:dyDescent="0.3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</row>
    <row r="783" spans="1:40" ht="16.5" customHeight="1" x14ac:dyDescent="0.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</row>
    <row r="784" spans="1:40" ht="16.5" customHeight="1" x14ac:dyDescent="0.3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</row>
    <row r="785" spans="1:40" ht="16.5" customHeight="1" x14ac:dyDescent="0.3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</row>
    <row r="786" spans="1:40" ht="16.5" customHeight="1" x14ac:dyDescent="0.3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</row>
    <row r="787" spans="1:40" ht="16.5" customHeight="1" x14ac:dyDescent="0.3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</row>
    <row r="788" spans="1:40" ht="16.5" customHeight="1" x14ac:dyDescent="0.3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</row>
    <row r="789" spans="1:40" ht="16.5" customHeight="1" x14ac:dyDescent="0.3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</row>
    <row r="790" spans="1:40" ht="16.5" customHeight="1" x14ac:dyDescent="0.3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</row>
    <row r="791" spans="1:40" ht="16.5" customHeight="1" x14ac:dyDescent="0.3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</row>
    <row r="792" spans="1:40" ht="16.5" customHeight="1" x14ac:dyDescent="0.3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</row>
    <row r="793" spans="1:40" ht="16.5" customHeight="1" x14ac:dyDescent="0.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</row>
    <row r="794" spans="1:40" ht="16.5" customHeight="1" x14ac:dyDescent="0.3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</row>
    <row r="795" spans="1:40" ht="16.5" customHeight="1" x14ac:dyDescent="0.3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</row>
    <row r="796" spans="1:40" ht="16.5" customHeight="1" x14ac:dyDescent="0.3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</row>
    <row r="797" spans="1:40" ht="16.5" customHeight="1" x14ac:dyDescent="0.3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</row>
    <row r="798" spans="1:40" ht="16.5" customHeight="1" x14ac:dyDescent="0.3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</row>
    <row r="799" spans="1:40" ht="16.5" customHeight="1" x14ac:dyDescent="0.3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</row>
    <row r="800" spans="1:40" ht="16.5" customHeight="1" x14ac:dyDescent="0.3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</row>
    <row r="801" spans="1:40" ht="16.5" customHeight="1" x14ac:dyDescent="0.3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</row>
    <row r="802" spans="1:40" ht="16.5" customHeight="1" x14ac:dyDescent="0.3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</row>
    <row r="803" spans="1:40" ht="16.5" customHeight="1" x14ac:dyDescent="0.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</row>
    <row r="804" spans="1:40" ht="16.5" customHeight="1" x14ac:dyDescent="0.3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</row>
    <row r="805" spans="1:40" ht="16.5" customHeight="1" x14ac:dyDescent="0.3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</row>
    <row r="806" spans="1:40" ht="16.5" customHeight="1" x14ac:dyDescent="0.3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</row>
    <row r="807" spans="1:40" ht="16.5" customHeight="1" x14ac:dyDescent="0.3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</row>
    <row r="808" spans="1:40" ht="16.5" customHeight="1" x14ac:dyDescent="0.3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</row>
    <row r="809" spans="1:40" ht="16.5" customHeight="1" x14ac:dyDescent="0.3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</row>
    <row r="810" spans="1:40" ht="16.5" customHeight="1" x14ac:dyDescent="0.3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</row>
    <row r="811" spans="1:40" ht="16.5" customHeight="1" x14ac:dyDescent="0.3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</row>
    <row r="812" spans="1:40" ht="16.5" customHeight="1" x14ac:dyDescent="0.3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</row>
    <row r="813" spans="1:40" ht="16.5" customHeight="1" x14ac:dyDescent="0.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</row>
    <row r="814" spans="1:40" ht="16.5" customHeight="1" x14ac:dyDescent="0.3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</row>
    <row r="815" spans="1:40" ht="16.5" customHeight="1" x14ac:dyDescent="0.3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</row>
    <row r="816" spans="1:40" ht="16.5" customHeight="1" x14ac:dyDescent="0.3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</row>
    <row r="817" spans="1:40" ht="16.5" customHeight="1" x14ac:dyDescent="0.3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</row>
    <row r="818" spans="1:40" ht="16.5" customHeight="1" x14ac:dyDescent="0.3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</row>
    <row r="819" spans="1:40" ht="16.5" customHeight="1" x14ac:dyDescent="0.3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</row>
    <row r="820" spans="1:40" ht="16.5" customHeight="1" x14ac:dyDescent="0.3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</row>
    <row r="821" spans="1:40" ht="16.5" customHeight="1" x14ac:dyDescent="0.3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</row>
    <row r="822" spans="1:40" ht="16.5" customHeight="1" x14ac:dyDescent="0.3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</row>
    <row r="823" spans="1:40" ht="16.5" customHeight="1" x14ac:dyDescent="0.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</row>
    <row r="824" spans="1:40" ht="16.5" customHeight="1" x14ac:dyDescent="0.3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</row>
    <row r="825" spans="1:40" ht="16.5" customHeight="1" x14ac:dyDescent="0.3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</row>
    <row r="826" spans="1:40" ht="16.5" customHeight="1" x14ac:dyDescent="0.3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</row>
    <row r="827" spans="1:40" ht="16.5" customHeight="1" x14ac:dyDescent="0.3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</row>
    <row r="828" spans="1:40" ht="16.5" customHeight="1" x14ac:dyDescent="0.3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</row>
    <row r="829" spans="1:40" ht="16.5" customHeight="1" x14ac:dyDescent="0.3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</row>
    <row r="830" spans="1:40" ht="16.5" customHeight="1" x14ac:dyDescent="0.3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</row>
    <row r="831" spans="1:40" ht="16.5" customHeight="1" x14ac:dyDescent="0.3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</row>
    <row r="832" spans="1:40" ht="16.5" customHeight="1" x14ac:dyDescent="0.3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</row>
    <row r="833" spans="1:40" ht="16.5" customHeight="1" x14ac:dyDescent="0.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</row>
    <row r="834" spans="1:40" ht="16.5" customHeight="1" x14ac:dyDescent="0.3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</row>
    <row r="835" spans="1:40" ht="16.5" customHeight="1" x14ac:dyDescent="0.3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</row>
    <row r="836" spans="1:40" ht="16.5" customHeight="1" x14ac:dyDescent="0.3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</row>
    <row r="837" spans="1:40" ht="16.5" customHeight="1" x14ac:dyDescent="0.3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</row>
    <row r="838" spans="1:40" ht="16.5" customHeight="1" x14ac:dyDescent="0.3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</row>
    <row r="839" spans="1:40" ht="16.5" customHeight="1" x14ac:dyDescent="0.3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</row>
    <row r="840" spans="1:40" ht="16.5" customHeight="1" x14ac:dyDescent="0.3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</row>
    <row r="841" spans="1:40" ht="16.5" customHeight="1" x14ac:dyDescent="0.3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</row>
    <row r="842" spans="1:40" ht="16.5" customHeight="1" x14ac:dyDescent="0.3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</row>
    <row r="843" spans="1:40" ht="16.5" customHeight="1" x14ac:dyDescent="0.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</row>
    <row r="844" spans="1:40" ht="16.5" customHeight="1" x14ac:dyDescent="0.3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</row>
    <row r="845" spans="1:40" ht="16.5" customHeight="1" x14ac:dyDescent="0.3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</row>
    <row r="846" spans="1:40" ht="16.5" customHeight="1" x14ac:dyDescent="0.3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</row>
    <row r="847" spans="1:40" ht="16.5" customHeight="1" x14ac:dyDescent="0.3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</row>
    <row r="848" spans="1:40" ht="16.5" customHeight="1" x14ac:dyDescent="0.3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</row>
    <row r="849" spans="1:40" ht="16.5" customHeight="1" x14ac:dyDescent="0.3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</row>
    <row r="850" spans="1:40" ht="16.5" customHeight="1" x14ac:dyDescent="0.3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</row>
    <row r="851" spans="1:40" ht="16.5" customHeight="1" x14ac:dyDescent="0.3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</row>
    <row r="852" spans="1:40" ht="16.5" customHeight="1" x14ac:dyDescent="0.3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</row>
    <row r="853" spans="1:40" ht="16.5" customHeight="1" x14ac:dyDescent="0.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</row>
    <row r="854" spans="1:40" ht="16.5" customHeight="1" x14ac:dyDescent="0.3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</row>
    <row r="855" spans="1:40" ht="16.5" customHeight="1" x14ac:dyDescent="0.3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</row>
    <row r="856" spans="1:40" ht="16.5" customHeight="1" x14ac:dyDescent="0.3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</row>
    <row r="857" spans="1:40" ht="16.5" customHeight="1" x14ac:dyDescent="0.3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</row>
    <row r="858" spans="1:40" ht="16.5" customHeight="1" x14ac:dyDescent="0.3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</row>
    <row r="859" spans="1:40" ht="16.5" customHeight="1" x14ac:dyDescent="0.3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</row>
    <row r="860" spans="1:40" ht="16.5" customHeight="1" x14ac:dyDescent="0.3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</row>
    <row r="861" spans="1:40" ht="16.5" customHeight="1" x14ac:dyDescent="0.3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</row>
    <row r="862" spans="1:40" ht="16.5" customHeight="1" x14ac:dyDescent="0.3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</row>
    <row r="863" spans="1:40" ht="16.5" customHeight="1" x14ac:dyDescent="0.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</row>
    <row r="864" spans="1:40" ht="16.5" customHeight="1" x14ac:dyDescent="0.3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</row>
    <row r="865" spans="1:40" ht="16.5" customHeight="1" x14ac:dyDescent="0.3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</row>
    <row r="866" spans="1:40" ht="16.5" customHeight="1" x14ac:dyDescent="0.3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</row>
    <row r="867" spans="1:40" ht="16.5" customHeight="1" x14ac:dyDescent="0.3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</row>
    <row r="868" spans="1:40" ht="16.5" customHeight="1" x14ac:dyDescent="0.3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</row>
    <row r="869" spans="1:40" ht="16.5" customHeight="1" x14ac:dyDescent="0.3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</row>
    <row r="870" spans="1:40" ht="16.5" customHeight="1" x14ac:dyDescent="0.3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</row>
    <row r="871" spans="1:40" ht="16.5" customHeight="1" x14ac:dyDescent="0.3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</row>
    <row r="872" spans="1:40" ht="16.5" customHeight="1" x14ac:dyDescent="0.3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</row>
    <row r="873" spans="1:40" ht="16.5" customHeight="1" x14ac:dyDescent="0.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</row>
    <row r="874" spans="1:40" ht="16.5" customHeight="1" x14ac:dyDescent="0.3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</row>
    <row r="875" spans="1:40" ht="16.5" customHeight="1" x14ac:dyDescent="0.3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</row>
    <row r="876" spans="1:40" ht="16.5" customHeight="1" x14ac:dyDescent="0.3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</row>
    <row r="877" spans="1:40" ht="16.5" customHeight="1" x14ac:dyDescent="0.3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</row>
    <row r="878" spans="1:40" ht="16.5" customHeight="1" x14ac:dyDescent="0.3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</row>
    <row r="879" spans="1:40" ht="16.5" customHeight="1" x14ac:dyDescent="0.3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</row>
    <row r="880" spans="1:40" ht="16.5" customHeight="1" x14ac:dyDescent="0.3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</row>
    <row r="881" spans="1:40" ht="16.5" customHeight="1" x14ac:dyDescent="0.3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</row>
    <row r="882" spans="1:40" ht="16.5" customHeight="1" x14ac:dyDescent="0.3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</row>
    <row r="883" spans="1:40" ht="16.5" customHeight="1" x14ac:dyDescent="0.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</row>
    <row r="884" spans="1:40" ht="16.5" customHeight="1" x14ac:dyDescent="0.3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</row>
    <row r="885" spans="1:40" ht="16.5" customHeight="1" x14ac:dyDescent="0.3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</row>
    <row r="886" spans="1:40" ht="16.5" customHeight="1" x14ac:dyDescent="0.3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</row>
    <row r="887" spans="1:40" ht="16.5" customHeight="1" x14ac:dyDescent="0.3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</row>
    <row r="888" spans="1:40" ht="16.5" customHeight="1" x14ac:dyDescent="0.3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</row>
    <row r="889" spans="1:40" ht="16.5" customHeight="1" x14ac:dyDescent="0.3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</row>
    <row r="890" spans="1:40" ht="16.5" customHeight="1" x14ac:dyDescent="0.3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</row>
    <row r="891" spans="1:40" ht="16.5" customHeight="1" x14ac:dyDescent="0.3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</row>
    <row r="892" spans="1:40" ht="16.5" customHeight="1" x14ac:dyDescent="0.3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</row>
    <row r="893" spans="1:40" ht="16.5" customHeight="1" x14ac:dyDescent="0.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</row>
    <row r="894" spans="1:40" ht="16.5" customHeight="1" x14ac:dyDescent="0.3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</row>
    <row r="895" spans="1:40" ht="16.5" customHeight="1" x14ac:dyDescent="0.3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</row>
    <row r="896" spans="1:40" ht="16.5" customHeight="1" x14ac:dyDescent="0.3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</row>
    <row r="897" spans="1:40" ht="16.5" customHeight="1" x14ac:dyDescent="0.3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</row>
    <row r="898" spans="1:40" ht="16.5" customHeight="1" x14ac:dyDescent="0.3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</row>
    <row r="899" spans="1:40" ht="16.5" customHeight="1" x14ac:dyDescent="0.3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</row>
    <row r="900" spans="1:40" ht="16.5" customHeight="1" x14ac:dyDescent="0.3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</row>
    <row r="901" spans="1:40" ht="16.5" customHeight="1" x14ac:dyDescent="0.3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</row>
    <row r="902" spans="1:40" ht="16.5" customHeight="1" x14ac:dyDescent="0.3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</row>
    <row r="903" spans="1:40" ht="16.5" customHeight="1" x14ac:dyDescent="0.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</row>
    <row r="904" spans="1:40" ht="16.5" customHeight="1" x14ac:dyDescent="0.3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</row>
    <row r="905" spans="1:40" ht="16.5" customHeight="1" x14ac:dyDescent="0.3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</row>
    <row r="906" spans="1:40" ht="16.5" customHeight="1" x14ac:dyDescent="0.3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</row>
    <row r="907" spans="1:40" ht="16.5" customHeight="1" x14ac:dyDescent="0.3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</row>
    <row r="908" spans="1:40" ht="16.5" customHeight="1" x14ac:dyDescent="0.3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</row>
    <row r="909" spans="1:40" ht="16.5" customHeight="1" x14ac:dyDescent="0.3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</row>
    <row r="910" spans="1:40" ht="16.5" customHeight="1" x14ac:dyDescent="0.3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</row>
    <row r="911" spans="1:40" ht="16.5" customHeight="1" x14ac:dyDescent="0.3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</row>
    <row r="912" spans="1:40" ht="16.5" customHeight="1" x14ac:dyDescent="0.3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</row>
    <row r="913" spans="1:40" ht="16.5" customHeight="1" x14ac:dyDescent="0.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</row>
    <row r="914" spans="1:40" ht="16.5" customHeight="1" x14ac:dyDescent="0.3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</row>
    <row r="915" spans="1:40" ht="16.5" customHeight="1" x14ac:dyDescent="0.3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</row>
    <row r="916" spans="1:40" ht="16.5" customHeight="1" x14ac:dyDescent="0.3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</row>
    <row r="917" spans="1:40" ht="16.5" customHeight="1" x14ac:dyDescent="0.3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</row>
    <row r="918" spans="1:40" ht="16.5" customHeight="1" x14ac:dyDescent="0.3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</row>
    <row r="919" spans="1:40" ht="16.5" customHeight="1" x14ac:dyDescent="0.3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</row>
    <row r="920" spans="1:40" ht="16.5" customHeight="1" x14ac:dyDescent="0.3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</row>
    <row r="921" spans="1:40" ht="16.5" customHeight="1" x14ac:dyDescent="0.3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</row>
    <row r="922" spans="1:40" ht="16.5" customHeight="1" x14ac:dyDescent="0.3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</row>
    <row r="923" spans="1:40" ht="16.5" customHeight="1" x14ac:dyDescent="0.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</row>
    <row r="924" spans="1:40" ht="16.5" customHeight="1" x14ac:dyDescent="0.3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</row>
    <row r="925" spans="1:40" ht="16.5" customHeight="1" x14ac:dyDescent="0.3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</row>
    <row r="926" spans="1:40" ht="16.5" customHeight="1" x14ac:dyDescent="0.3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</row>
    <row r="927" spans="1:40" ht="16.5" customHeight="1" x14ac:dyDescent="0.3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</row>
    <row r="928" spans="1:40" ht="16.5" customHeight="1" x14ac:dyDescent="0.3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</row>
    <row r="929" spans="1:40" ht="16.5" customHeight="1" x14ac:dyDescent="0.3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</row>
    <row r="930" spans="1:40" ht="16.5" customHeight="1" x14ac:dyDescent="0.3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</row>
    <row r="931" spans="1:40" ht="16.5" customHeight="1" x14ac:dyDescent="0.3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</row>
    <row r="932" spans="1:40" ht="16.5" customHeight="1" x14ac:dyDescent="0.3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</row>
    <row r="933" spans="1:40" ht="16.5" customHeight="1" x14ac:dyDescent="0.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</row>
    <row r="934" spans="1:40" ht="16.5" customHeight="1" x14ac:dyDescent="0.3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</row>
    <row r="935" spans="1:40" ht="16.5" customHeight="1" x14ac:dyDescent="0.3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</row>
    <row r="936" spans="1:40" ht="16.5" customHeight="1" x14ac:dyDescent="0.3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</row>
    <row r="937" spans="1:40" ht="16.5" customHeight="1" x14ac:dyDescent="0.3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</row>
    <row r="938" spans="1:40" ht="16.5" customHeight="1" x14ac:dyDescent="0.3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</row>
    <row r="939" spans="1:40" ht="16.5" customHeight="1" x14ac:dyDescent="0.3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</row>
    <row r="940" spans="1:40" ht="16.5" customHeight="1" x14ac:dyDescent="0.3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</row>
    <row r="941" spans="1:40" ht="16.5" customHeight="1" x14ac:dyDescent="0.3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</row>
    <row r="942" spans="1:40" ht="16.5" customHeight="1" x14ac:dyDescent="0.3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</row>
    <row r="943" spans="1:40" ht="16.5" customHeight="1" x14ac:dyDescent="0.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</row>
    <row r="944" spans="1:40" ht="16.5" customHeight="1" x14ac:dyDescent="0.3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</row>
    <row r="945" spans="1:40" ht="16.5" customHeight="1" x14ac:dyDescent="0.3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</row>
    <row r="946" spans="1:40" ht="16.5" customHeight="1" x14ac:dyDescent="0.3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</row>
    <row r="947" spans="1:40" ht="16.5" customHeight="1" x14ac:dyDescent="0.3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</row>
    <row r="948" spans="1:40" ht="16.5" customHeight="1" x14ac:dyDescent="0.3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</row>
    <row r="949" spans="1:40" ht="16.5" customHeight="1" x14ac:dyDescent="0.3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</row>
    <row r="950" spans="1:40" ht="16.5" customHeight="1" x14ac:dyDescent="0.3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</row>
    <row r="951" spans="1:40" ht="16.5" customHeight="1" x14ac:dyDescent="0.3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</row>
    <row r="952" spans="1:40" ht="16.5" customHeight="1" x14ac:dyDescent="0.3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</row>
    <row r="953" spans="1:40" ht="16.5" customHeight="1" x14ac:dyDescent="0.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</row>
    <row r="954" spans="1:40" ht="16.5" customHeight="1" x14ac:dyDescent="0.3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</row>
    <row r="955" spans="1:40" ht="16.5" customHeight="1" x14ac:dyDescent="0.3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</row>
    <row r="956" spans="1:40" ht="16.5" customHeight="1" x14ac:dyDescent="0.3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</row>
    <row r="957" spans="1:40" ht="16.5" customHeight="1" x14ac:dyDescent="0.3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</row>
    <row r="958" spans="1:40" ht="16.5" customHeight="1" x14ac:dyDescent="0.3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</row>
    <row r="959" spans="1:40" ht="16.5" customHeight="1" x14ac:dyDescent="0.3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</row>
    <row r="960" spans="1:40" ht="16.5" customHeight="1" x14ac:dyDescent="0.3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</row>
    <row r="961" spans="1:40" ht="16.5" customHeight="1" x14ac:dyDescent="0.3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</row>
    <row r="962" spans="1:40" ht="16.5" customHeight="1" x14ac:dyDescent="0.3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</row>
    <row r="963" spans="1:40" ht="16.5" customHeight="1" x14ac:dyDescent="0.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</row>
    <row r="964" spans="1:40" ht="16.5" customHeight="1" x14ac:dyDescent="0.3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</row>
    <row r="965" spans="1:40" ht="16.5" customHeight="1" x14ac:dyDescent="0.3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</row>
    <row r="966" spans="1:40" ht="16.5" customHeight="1" x14ac:dyDescent="0.3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</row>
    <row r="967" spans="1:40" ht="16.5" customHeight="1" x14ac:dyDescent="0.3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</row>
    <row r="968" spans="1:40" ht="16.5" customHeight="1" x14ac:dyDescent="0.3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</row>
    <row r="969" spans="1:40" ht="16.5" customHeight="1" x14ac:dyDescent="0.3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</row>
    <row r="970" spans="1:40" ht="16.5" customHeight="1" x14ac:dyDescent="0.3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</row>
    <row r="971" spans="1:40" ht="16.5" customHeight="1" x14ac:dyDescent="0.3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</row>
    <row r="972" spans="1:40" ht="16.5" customHeight="1" x14ac:dyDescent="0.3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</row>
    <row r="973" spans="1:40" ht="16.5" customHeight="1" x14ac:dyDescent="0.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</row>
    <row r="974" spans="1:40" ht="16.5" customHeight="1" x14ac:dyDescent="0.3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</row>
    <row r="975" spans="1:40" ht="16.5" customHeight="1" x14ac:dyDescent="0.3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</row>
    <row r="976" spans="1:40" ht="16.5" customHeight="1" x14ac:dyDescent="0.3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</row>
    <row r="977" spans="1:40" ht="16.5" customHeight="1" x14ac:dyDescent="0.3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</row>
    <row r="978" spans="1:40" ht="16.5" customHeight="1" x14ac:dyDescent="0.3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</row>
    <row r="979" spans="1:40" ht="16.5" customHeight="1" x14ac:dyDescent="0.3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</row>
    <row r="980" spans="1:40" ht="16.5" customHeight="1" x14ac:dyDescent="0.3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</row>
    <row r="981" spans="1:40" ht="16.5" customHeight="1" x14ac:dyDescent="0.3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</row>
    <row r="982" spans="1:40" ht="16.5" customHeight="1" x14ac:dyDescent="0.3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</row>
    <row r="983" spans="1:40" ht="16.5" customHeight="1" x14ac:dyDescent="0.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</row>
    <row r="984" spans="1:40" ht="16.5" customHeight="1" x14ac:dyDescent="0.3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</row>
    <row r="985" spans="1:40" ht="16.5" customHeight="1" x14ac:dyDescent="0.3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</row>
    <row r="986" spans="1:40" ht="16.5" customHeight="1" x14ac:dyDescent="0.3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</row>
    <row r="987" spans="1:40" ht="16.5" customHeight="1" x14ac:dyDescent="0.3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</row>
    <row r="988" spans="1:40" ht="16.5" customHeight="1" x14ac:dyDescent="0.3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</row>
    <row r="989" spans="1:40" ht="16.5" customHeight="1" x14ac:dyDescent="0.3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</row>
    <row r="990" spans="1:40" ht="16.5" customHeight="1" x14ac:dyDescent="0.3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</row>
    <row r="991" spans="1:40" ht="16.5" customHeight="1" x14ac:dyDescent="0.3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</row>
    <row r="992" spans="1:40" ht="16.5" customHeight="1" x14ac:dyDescent="0.3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</row>
    <row r="993" spans="1:40" ht="16.5" customHeight="1" x14ac:dyDescent="0.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</row>
    <row r="994" spans="1:40" ht="16.5" customHeight="1" x14ac:dyDescent="0.3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</row>
    <row r="995" spans="1:40" ht="16.5" customHeight="1" x14ac:dyDescent="0.3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</row>
    <row r="996" spans="1:40" ht="16.5" customHeight="1" x14ac:dyDescent="0.3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</row>
    <row r="997" spans="1:40" ht="16.5" customHeight="1" x14ac:dyDescent="0.3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</row>
    <row r="998" spans="1:40" ht="16.5" customHeight="1" x14ac:dyDescent="0.3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</row>
    <row r="999" spans="1:40" ht="16.5" customHeight="1" x14ac:dyDescent="0.3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</row>
    <row r="1000" spans="1:40" ht="16.5" customHeight="1" x14ac:dyDescent="0.3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</row>
    <row r="1001" spans="1:40" ht="16.5" customHeight="1" x14ac:dyDescent="0.3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  <c r="AF1001" s="46"/>
      <c r="AG1001" s="46"/>
      <c r="AH1001" s="46"/>
      <c r="AI1001" s="46"/>
      <c r="AJ1001" s="46"/>
      <c r="AK1001" s="46"/>
      <c r="AL1001" s="46"/>
      <c r="AM1001" s="46"/>
      <c r="AN1001" s="46"/>
    </row>
    <row r="1002" spans="1:40" ht="16.5" customHeight="1" x14ac:dyDescent="0.3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  <c r="AF1002" s="46"/>
      <c r="AG1002" s="46"/>
      <c r="AH1002" s="46"/>
      <c r="AI1002" s="46"/>
      <c r="AJ1002" s="46"/>
      <c r="AK1002" s="46"/>
      <c r="AL1002" s="46"/>
      <c r="AM1002" s="46"/>
      <c r="AN1002" s="46"/>
    </row>
    <row r="1003" spans="1:40" ht="16.5" customHeight="1" x14ac:dyDescent="0.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  <c r="AF1003" s="46"/>
      <c r="AG1003" s="46"/>
      <c r="AH1003" s="46"/>
      <c r="AI1003" s="46"/>
      <c r="AJ1003" s="46"/>
      <c r="AK1003" s="46"/>
      <c r="AL1003" s="46"/>
      <c r="AM1003" s="46"/>
      <c r="AN1003" s="46"/>
    </row>
    <row r="1004" spans="1:40" ht="16.5" customHeight="1" x14ac:dyDescent="0.3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  <c r="AE1004" s="46"/>
      <c r="AF1004" s="46"/>
      <c r="AG1004" s="46"/>
      <c r="AH1004" s="46"/>
      <c r="AI1004" s="46"/>
      <c r="AJ1004" s="46"/>
      <c r="AK1004" s="46"/>
      <c r="AL1004" s="46"/>
      <c r="AM1004" s="46"/>
      <c r="AN1004" s="46"/>
    </row>
    <row r="1005" spans="1:40" ht="16.5" customHeight="1" x14ac:dyDescent="0.3">
      <c r="A1005" s="46"/>
      <c r="B1005" s="4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  <c r="AE1005" s="46"/>
      <c r="AF1005" s="46"/>
      <c r="AG1005" s="46"/>
      <c r="AH1005" s="46"/>
      <c r="AI1005" s="46"/>
      <c r="AJ1005" s="46"/>
      <c r="AK1005" s="46"/>
      <c r="AL1005" s="46"/>
      <c r="AM1005" s="46"/>
      <c r="AN1005" s="46"/>
    </row>
  </sheetData>
  <mergeCells count="234">
    <mergeCell ref="C100:D100"/>
    <mergeCell ref="C101:D101"/>
    <mergeCell ref="C102:D102"/>
    <mergeCell ref="C112:D112"/>
    <mergeCell ref="C113:D113"/>
    <mergeCell ref="E126:F126"/>
    <mergeCell ref="E30:F30"/>
    <mergeCell ref="E31:F31"/>
    <mergeCell ref="E32:F32"/>
    <mergeCell ref="E46:F46"/>
    <mergeCell ref="E86:F86"/>
    <mergeCell ref="E100:F100"/>
    <mergeCell ref="E101:F101"/>
    <mergeCell ref="E102:F102"/>
    <mergeCell ref="E112:F112"/>
    <mergeCell ref="E114:F114"/>
    <mergeCell ref="E84:F84"/>
    <mergeCell ref="E87:F87"/>
    <mergeCell ref="E88:F88"/>
    <mergeCell ref="E113:F113"/>
    <mergeCell ref="C46:D46"/>
    <mergeCell ref="C79:D79"/>
    <mergeCell ref="E79:F79"/>
    <mergeCell ref="C45:D45"/>
    <mergeCell ref="E45:F45"/>
    <mergeCell ref="C44:D44"/>
    <mergeCell ref="E44:F44"/>
    <mergeCell ref="C110:D110"/>
    <mergeCell ref="C111:D111"/>
    <mergeCell ref="C105:D105"/>
    <mergeCell ref="C103:D103"/>
    <mergeCell ref="E103:F103"/>
    <mergeCell ref="C104:D104"/>
    <mergeCell ref="C109:D109"/>
    <mergeCell ref="E104:F104"/>
    <mergeCell ref="E105:F105"/>
    <mergeCell ref="C98:D98"/>
    <mergeCell ref="E94:F94"/>
    <mergeCell ref="E95:F95"/>
    <mergeCell ref="C96:D96"/>
    <mergeCell ref="E96:F96"/>
    <mergeCell ref="E98:F98"/>
    <mergeCell ref="G129:H129"/>
    <mergeCell ref="G130:H130"/>
    <mergeCell ref="E106:F106"/>
    <mergeCell ref="E107:F107"/>
    <mergeCell ref="C108:D108"/>
    <mergeCell ref="E108:F108"/>
    <mergeCell ref="E109:F109"/>
    <mergeCell ref="E127:F127"/>
    <mergeCell ref="E128:F128"/>
    <mergeCell ref="E129:F129"/>
    <mergeCell ref="E116:F116"/>
    <mergeCell ref="E117:F117"/>
    <mergeCell ref="E118:F118"/>
    <mergeCell ref="E119:F119"/>
    <mergeCell ref="C114:D114"/>
    <mergeCell ref="C124:D124"/>
    <mergeCell ref="C125:D125"/>
    <mergeCell ref="C126:D126"/>
    <mergeCell ref="E124:F124"/>
    <mergeCell ref="E125:F125"/>
    <mergeCell ref="C106:D106"/>
    <mergeCell ref="C107:D107"/>
    <mergeCell ref="C93:D93"/>
    <mergeCell ref="C78:D78"/>
    <mergeCell ref="E78:F78"/>
    <mergeCell ref="E93:F93"/>
    <mergeCell ref="C89:D89"/>
    <mergeCell ref="C90:D90"/>
    <mergeCell ref="C91:D91"/>
    <mergeCell ref="C80:D80"/>
    <mergeCell ref="C81:D81"/>
    <mergeCell ref="C82:D82"/>
    <mergeCell ref="C83:D83"/>
    <mergeCell ref="C84:D84"/>
    <mergeCell ref="C86:D86"/>
    <mergeCell ref="C87:D87"/>
    <mergeCell ref="C88:D88"/>
    <mergeCell ref="E80:F80"/>
    <mergeCell ref="E81:F81"/>
    <mergeCell ref="E130:F130"/>
    <mergeCell ref="E120:F120"/>
    <mergeCell ref="E121:F121"/>
    <mergeCell ref="C122:D122"/>
    <mergeCell ref="E122:F122"/>
    <mergeCell ref="C123:D123"/>
    <mergeCell ref="E123:F123"/>
    <mergeCell ref="E26:F26"/>
    <mergeCell ref="C26:D26"/>
    <mergeCell ref="E115:F115"/>
    <mergeCell ref="C34:D34"/>
    <mergeCell ref="C35:D35"/>
    <mergeCell ref="C36:D36"/>
    <mergeCell ref="C37:D37"/>
    <mergeCell ref="E37:F37"/>
    <mergeCell ref="C38:D38"/>
    <mergeCell ref="E38:F38"/>
    <mergeCell ref="E34:F34"/>
    <mergeCell ref="C94:D94"/>
    <mergeCell ref="C95:D95"/>
    <mergeCell ref="E90:F90"/>
    <mergeCell ref="E91:F91"/>
    <mergeCell ref="C92:D92"/>
    <mergeCell ref="C30:D30"/>
    <mergeCell ref="C31:D31"/>
    <mergeCell ref="C32:D32"/>
    <mergeCell ref="E65:F65"/>
    <mergeCell ref="E66:F66"/>
    <mergeCell ref="E67:F67"/>
    <mergeCell ref="E82:F82"/>
    <mergeCell ref="E83:F83"/>
    <mergeCell ref="E111:F111"/>
    <mergeCell ref="E47:F47"/>
    <mergeCell ref="E89:F89"/>
    <mergeCell ref="E76:F76"/>
    <mergeCell ref="E77:F77"/>
    <mergeCell ref="E69:F69"/>
    <mergeCell ref="E71:F71"/>
    <mergeCell ref="E73:F73"/>
    <mergeCell ref="E74:F74"/>
    <mergeCell ref="E75:F75"/>
    <mergeCell ref="E110:F110"/>
    <mergeCell ref="E92:F92"/>
    <mergeCell ref="E21:F21"/>
    <mergeCell ref="A1:B1"/>
    <mergeCell ref="A2:B2"/>
    <mergeCell ref="A3:B3"/>
    <mergeCell ref="B6:E6"/>
    <mergeCell ref="B13:C13"/>
    <mergeCell ref="C15:D15"/>
    <mergeCell ref="C27:D27"/>
    <mergeCell ref="C28:D28"/>
    <mergeCell ref="C21:D21"/>
    <mergeCell ref="E22:F22"/>
    <mergeCell ref="C23:D23"/>
    <mergeCell ref="E23:F23"/>
    <mergeCell ref="C24:D24"/>
    <mergeCell ref="E24:F24"/>
    <mergeCell ref="E15:F15"/>
    <mergeCell ref="B16:D16"/>
    <mergeCell ref="E16:F16"/>
    <mergeCell ref="E17:F17"/>
    <mergeCell ref="B18:D18"/>
    <mergeCell ref="E18:F18"/>
    <mergeCell ref="C20:D20"/>
    <mergeCell ref="E20:F20"/>
    <mergeCell ref="C22:D22"/>
    <mergeCell ref="A4:B4"/>
    <mergeCell ref="A16:A130"/>
    <mergeCell ref="C127:D127"/>
    <mergeCell ref="C128:D128"/>
    <mergeCell ref="B129:D130"/>
    <mergeCell ref="C75:D75"/>
    <mergeCell ref="C76:D76"/>
    <mergeCell ref="C120:D120"/>
    <mergeCell ref="C121:D121"/>
    <mergeCell ref="C118:D118"/>
    <mergeCell ref="C119:D119"/>
    <mergeCell ref="C47:D47"/>
    <mergeCell ref="C115:D115"/>
    <mergeCell ref="C116:D116"/>
    <mergeCell ref="C117:D117"/>
    <mergeCell ref="C77:D77"/>
    <mergeCell ref="C73:D73"/>
    <mergeCell ref="C74:D74"/>
    <mergeCell ref="C67:D67"/>
    <mergeCell ref="B17:D17"/>
    <mergeCell ref="C29:D29"/>
    <mergeCell ref="C69:D69"/>
    <mergeCell ref="C71:D71"/>
    <mergeCell ref="E68:F68"/>
    <mergeCell ref="C65:D65"/>
    <mergeCell ref="C66:D66"/>
    <mergeCell ref="C68:D68"/>
    <mergeCell ref="C63:D63"/>
    <mergeCell ref="E58:F58"/>
    <mergeCell ref="E59:F59"/>
    <mergeCell ref="C60:D60"/>
    <mergeCell ref="E60:F60"/>
    <mergeCell ref="C61:D61"/>
    <mergeCell ref="E61:F61"/>
    <mergeCell ref="E63:F63"/>
    <mergeCell ref="C57:D57"/>
    <mergeCell ref="C58:D58"/>
    <mergeCell ref="C59:D59"/>
    <mergeCell ref="E53:F53"/>
    <mergeCell ref="E54:F54"/>
    <mergeCell ref="C55:D55"/>
    <mergeCell ref="E55:F55"/>
    <mergeCell ref="C56:D56"/>
    <mergeCell ref="E56:F56"/>
    <mergeCell ref="E57:F57"/>
    <mergeCell ref="C51:D51"/>
    <mergeCell ref="C53:D53"/>
    <mergeCell ref="C54:D54"/>
    <mergeCell ref="C48:D48"/>
    <mergeCell ref="E48:F48"/>
    <mergeCell ref="C49:D49"/>
    <mergeCell ref="E49:F49"/>
    <mergeCell ref="C50:D50"/>
    <mergeCell ref="E50:F50"/>
    <mergeCell ref="E51:F51"/>
    <mergeCell ref="C43:D43"/>
    <mergeCell ref="C39:D39"/>
    <mergeCell ref="E39:F39"/>
    <mergeCell ref="C41:D41"/>
    <mergeCell ref="E41:F41"/>
    <mergeCell ref="E42:F42"/>
    <mergeCell ref="E43:F43"/>
    <mergeCell ref="B20:B33"/>
    <mergeCell ref="B34:B46"/>
    <mergeCell ref="B47:B88"/>
    <mergeCell ref="B89:B102"/>
    <mergeCell ref="B103:B114"/>
    <mergeCell ref="B115:B126"/>
    <mergeCell ref="B19:D19"/>
    <mergeCell ref="E19:F19"/>
    <mergeCell ref="E25:F25"/>
    <mergeCell ref="E33:F33"/>
    <mergeCell ref="E40:F40"/>
    <mergeCell ref="E62:F62"/>
    <mergeCell ref="E64:F64"/>
    <mergeCell ref="C25:D25"/>
    <mergeCell ref="C33:D33"/>
    <mergeCell ref="C40:D40"/>
    <mergeCell ref="C62:D62"/>
    <mergeCell ref="C64:D64"/>
    <mergeCell ref="E35:F35"/>
    <mergeCell ref="E36:F36"/>
    <mergeCell ref="E27:F27"/>
    <mergeCell ref="E28:F28"/>
    <mergeCell ref="E29:F29"/>
    <mergeCell ref="C42:D42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tabSelected="1" workbookViewId="0">
      <selection activeCell="I17" sqref="I17"/>
    </sheetView>
  </sheetViews>
  <sheetFormatPr defaultColWidth="14.44140625" defaultRowHeight="15" customHeight="1" x14ac:dyDescent="0.3"/>
  <cols>
    <col min="1" max="1" width="8.6640625" customWidth="1"/>
    <col min="2" max="11" width="10" customWidth="1"/>
    <col min="12" max="26" width="8.6640625" customWidth="1"/>
  </cols>
  <sheetData>
    <row r="1" spans="1:11" ht="14.25" customHeight="1" x14ac:dyDescent="0.3">
      <c r="A1" s="88" t="s">
        <v>174</v>
      </c>
      <c r="B1" s="89"/>
      <c r="C1" s="89"/>
      <c r="D1" s="89"/>
      <c r="E1" s="89"/>
      <c r="F1" s="89"/>
      <c r="G1" s="89"/>
      <c r="H1" s="89"/>
      <c r="I1" s="89"/>
      <c r="J1" s="89"/>
      <c r="K1" s="87"/>
    </row>
    <row r="2" spans="1:11" ht="14.25" customHeight="1" x14ac:dyDescent="0.3">
      <c r="A2" s="90"/>
      <c r="B2" s="92" t="s">
        <v>27</v>
      </c>
      <c r="C2" s="93"/>
      <c r="D2" s="92" t="s">
        <v>46</v>
      </c>
      <c r="E2" s="93"/>
      <c r="F2" s="92" t="s">
        <v>44</v>
      </c>
      <c r="G2" s="93"/>
      <c r="H2" s="92" t="s">
        <v>45</v>
      </c>
      <c r="I2" s="93"/>
      <c r="J2" s="92" t="s">
        <v>104</v>
      </c>
      <c r="K2" s="94"/>
    </row>
    <row r="3" spans="1:11" ht="14.25" customHeight="1" x14ac:dyDescent="0.3">
      <c r="A3" s="91"/>
      <c r="B3" s="34" t="s">
        <v>12</v>
      </c>
      <c r="C3" s="63" t="s">
        <v>13</v>
      </c>
      <c r="D3" s="34" t="s">
        <v>12</v>
      </c>
      <c r="E3" s="34" t="s">
        <v>13</v>
      </c>
      <c r="F3" s="34" t="s">
        <v>12</v>
      </c>
      <c r="G3" s="34" t="s">
        <v>13</v>
      </c>
      <c r="H3" s="34" t="s">
        <v>12</v>
      </c>
      <c r="I3" s="34" t="s">
        <v>13</v>
      </c>
      <c r="J3" s="34" t="s">
        <v>12</v>
      </c>
      <c r="K3" s="35" t="s">
        <v>13</v>
      </c>
    </row>
    <row r="4" spans="1:11" ht="14.25" customHeight="1" x14ac:dyDescent="0.3">
      <c r="A4" s="36" t="s">
        <v>4</v>
      </c>
      <c r="B4" s="61">
        <f ca="1">'Sprint 1'!D8</f>
        <v>36.5</v>
      </c>
      <c r="C4" s="65">
        <f ca="1">'Sprint 1'!E8</f>
        <v>43</v>
      </c>
      <c r="D4" s="62">
        <f ca="1">'Sprint 1'!D9</f>
        <v>34.5</v>
      </c>
      <c r="E4" s="62">
        <f ca="1">'Sprint 1'!E9</f>
        <v>34</v>
      </c>
      <c r="F4" s="62">
        <f ca="1">'Sprint 1'!D10</f>
        <v>19</v>
      </c>
      <c r="G4" s="62">
        <f ca="1">'Sprint 1'!E10</f>
        <v>20</v>
      </c>
      <c r="H4" s="62">
        <f ca="1">'Sprint 1'!D11</f>
        <v>29</v>
      </c>
      <c r="I4" s="62">
        <f ca="1">'Sprint 1'!E11</f>
        <v>26.5</v>
      </c>
      <c r="J4" s="62">
        <f ca="1">'Sprint 1'!D12</f>
        <v>30</v>
      </c>
      <c r="K4" s="62">
        <f ca="1">'Sprint 1'!E12</f>
        <v>26.5</v>
      </c>
    </row>
    <row r="5" spans="1:11" ht="14.25" customHeight="1" x14ac:dyDescent="0.3">
      <c r="A5" s="36" t="s">
        <v>131</v>
      </c>
      <c r="B5" s="61">
        <f ca="1">'Sprint 2'!D8</f>
        <v>26.35</v>
      </c>
      <c r="C5" s="65">
        <f ca="1">'Sprint 2'!E8</f>
        <v>29.35</v>
      </c>
      <c r="D5" s="62">
        <f ca="1">'Sprint 2'!D9</f>
        <v>28.85</v>
      </c>
      <c r="E5" s="62">
        <f ca="1">'Sprint 2'!E9</f>
        <v>32.85</v>
      </c>
      <c r="F5" s="62">
        <f ca="1">'Sprint 2'!D10</f>
        <v>28.6</v>
      </c>
      <c r="G5" s="62">
        <f ca="1">'Sprint 2'!E10</f>
        <v>25.6</v>
      </c>
      <c r="H5" s="62">
        <f ca="1">'Sprint 2'!D11</f>
        <v>20.350000000000001</v>
      </c>
      <c r="I5" s="62">
        <f ca="1">'Sprint 2'!E11</f>
        <v>19.350000000000001</v>
      </c>
      <c r="J5" s="62">
        <f ca="1">'Sprint 2'!D12</f>
        <v>20.85</v>
      </c>
      <c r="K5" s="62">
        <f ca="1">'Sprint 2'!E12</f>
        <v>22.85</v>
      </c>
    </row>
    <row r="6" spans="1:11" ht="14.25" customHeight="1" x14ac:dyDescent="0.3">
      <c r="A6" s="36" t="s">
        <v>175</v>
      </c>
      <c r="B6" s="61">
        <f>'Sprint 3'!D8</f>
        <v>32.5</v>
      </c>
      <c r="C6" s="65">
        <f>'Sprint 3'!E8</f>
        <v>33.5</v>
      </c>
      <c r="D6" s="62">
        <f>'Sprint 3'!D9</f>
        <v>29.999999999999996</v>
      </c>
      <c r="E6" s="62">
        <f>'Sprint 3'!E9</f>
        <v>30.999999999999996</v>
      </c>
      <c r="F6" s="62">
        <f>'Sprint 3'!D10</f>
        <v>33.5</v>
      </c>
      <c r="G6" s="62">
        <f>'Sprint 3'!E10</f>
        <v>36</v>
      </c>
      <c r="H6" s="62">
        <f>'Sprint 3'!D11</f>
        <v>24.999999999999996</v>
      </c>
      <c r="I6" s="62">
        <f>'Sprint 3'!E11</f>
        <v>23.499999999999996</v>
      </c>
      <c r="J6" s="62">
        <f>'Sprint 3'!D12</f>
        <v>27.499999999999996</v>
      </c>
      <c r="K6" s="62">
        <f>'Sprint 3'!E12</f>
        <v>26.999999999999996</v>
      </c>
    </row>
    <row r="7" spans="1:11" ht="14.25" customHeight="1" x14ac:dyDescent="0.3">
      <c r="A7" s="37" t="s">
        <v>19</v>
      </c>
      <c r="B7" s="38">
        <f t="shared" ref="B7:K7" ca="1" si="0">SUM(B4:B6)</f>
        <v>95.35</v>
      </c>
      <c r="C7" s="64">
        <f ca="1">SUM(C4:C6)</f>
        <v>105.85</v>
      </c>
      <c r="D7" s="38">
        <f ca="1">SUM(D4:D6)</f>
        <v>93.35</v>
      </c>
      <c r="E7" s="38">
        <f t="shared" ca="1" si="0"/>
        <v>97.85</v>
      </c>
      <c r="F7" s="38">
        <f t="shared" ca="1" si="0"/>
        <v>81.099999999999994</v>
      </c>
      <c r="G7" s="38">
        <f t="shared" ca="1" si="0"/>
        <v>81.599999999999994</v>
      </c>
      <c r="H7" s="38">
        <f ca="1">SUM(H4:H6)</f>
        <v>74.349999999999994</v>
      </c>
      <c r="I7" s="38">
        <f ca="1">SUM(I4:I6)</f>
        <v>69.349999999999994</v>
      </c>
      <c r="J7" s="38">
        <f t="shared" ca="1" si="0"/>
        <v>78.349999999999994</v>
      </c>
      <c r="K7" s="38">
        <f t="shared" ca="1" si="0"/>
        <v>76.349999999999994</v>
      </c>
    </row>
    <row r="8" spans="1:11" ht="14.25" customHeight="1" x14ac:dyDescent="0.3"/>
    <row r="9" spans="1:11" ht="14.25" customHeight="1" x14ac:dyDescent="0.3"/>
    <row r="10" spans="1:11" ht="14.25" customHeight="1" x14ac:dyDescent="0.3">
      <c r="E10" s="86" t="s">
        <v>176</v>
      </c>
      <c r="F10" s="87"/>
    </row>
    <row r="11" spans="1:11" ht="14.25" customHeight="1" x14ac:dyDescent="0.3">
      <c r="E11" s="39" t="s">
        <v>12</v>
      </c>
      <c r="F11" s="40">
        <f ca="1">SUMIF($B$3:$K$3,"Thực tế",$B$7:$K$7)</f>
        <v>422.5</v>
      </c>
    </row>
    <row r="12" spans="1:11" ht="14.25" customHeight="1" x14ac:dyDescent="0.3">
      <c r="E12" s="41" t="s">
        <v>13</v>
      </c>
      <c r="F12" s="42">
        <f ca="1">SUMIF($B$3:$K$3,"Ước tính",$B$7:$K$7)</f>
        <v>431</v>
      </c>
    </row>
    <row r="13" spans="1:11" ht="14.25" customHeight="1" x14ac:dyDescent="0.3"/>
    <row r="14" spans="1:11" ht="14.25" customHeight="1" x14ac:dyDescent="0.3"/>
    <row r="15" spans="1:11" ht="14.25" customHeight="1" x14ac:dyDescent="0.3"/>
    <row r="16" spans="1:11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8">
    <mergeCell ref="E10:F10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Mark Wilson</cp:lastModifiedBy>
  <dcterms:created xsi:type="dcterms:W3CDTF">2021-04-23T08:05:10Z</dcterms:created>
  <dcterms:modified xsi:type="dcterms:W3CDTF">2026-05-11T03:25:21Z</dcterms:modified>
</cp:coreProperties>
</file>